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nh sách" sheetId="1" r:id="rId4"/>
  </sheets>
  <definedNames>
    <definedName hidden="1" localSheetId="0" name="_xlnm._FilterDatabase">'Danh sách'!$A$6:$Z$881</definedName>
  </definedNames>
  <calcPr/>
  <extLst>
    <ext uri="GoogleSheetsCustomDataVersion2">
      <go:sheetsCustomData xmlns:go="http://customooxmlschemas.google.com/" r:id="rId5" roundtripDataChecksum="e8pMbEc3muqn8onFgP81xXz7vObhmeTToG4hlT+Ui+g="/>
    </ext>
  </extLst>
</workbook>
</file>

<file path=xl/sharedStrings.xml><?xml version="1.0" encoding="utf-8"?>
<sst xmlns="http://schemas.openxmlformats.org/spreadsheetml/2006/main" count="1090" uniqueCount="395">
  <si>
    <t xml:space="preserve">SẢN PHẨM BÁN 8-2025 ĐẾN 8-2026 </t>
  </si>
  <si>
    <t>Tên hàng hóa</t>
  </si>
  <si>
    <t>Loại hàng hóa</t>
  </si>
  <si>
    <t>Đơn vị tính</t>
  </si>
  <si>
    <t>Số lượng bán</t>
  </si>
  <si>
    <t>Tổng tiền bán</t>
  </si>
  <si>
    <t>SL trả lại</t>
  </si>
  <si>
    <t>Tổng tiền trả lại</t>
  </si>
  <si>
    <t>Số lượng đã bán cuối cùng</t>
  </si>
  <si>
    <t>Tổng tiền đã bán cuối cùng</t>
  </si>
  <si>
    <t>Giá trung bình 1 món</t>
  </si>
  <si>
    <t>Trung bình 1 tháng bán được SL Sản phẩm</t>
  </si>
  <si>
    <t>Trung bình 1 tháng bán được tổng tiền của sản phẩm</t>
  </si>
  <si>
    <t>SL tồn tính tới 13/9</t>
  </si>
  <si>
    <t xml:space="preserve">HÀNG DỰ TRÙ CÓ TẠI KHO 
= TRUNG BÌNH BÁN 1 THÁNG
 + DỰ TRÙ 2 THÁNG </t>
  </si>
  <si>
    <t xml:space="preserve">SỐ LƯỢNG 
THIẾU THỪA </t>
  </si>
  <si>
    <t xml:space="preserve">SỐ LƯỢNG 
CẦN NHẬP </t>
  </si>
  <si>
    <t>GHI  CHÚ ( BỎ MÃ )</t>
  </si>
  <si>
    <t>ROAD16</t>
  </si>
  <si>
    <t>Xe đạp 16</t>
  </si>
  <si>
    <t>Chiếc</t>
  </si>
  <si>
    <t>X6-24 Không Đề</t>
  </si>
  <si>
    <t>Xe đạp 24</t>
  </si>
  <si>
    <t>LUCKY 16 Nữ</t>
  </si>
  <si>
    <t>LUCKY 12 Nữ</t>
  </si>
  <si>
    <t>Xe đạp 12</t>
  </si>
  <si>
    <t>XT100 24 Không đề</t>
  </si>
  <si>
    <t>ROAD12</t>
  </si>
  <si>
    <t>LADY24 Nữ Kèm rổ và cây đỡ rổ</t>
  </si>
  <si>
    <t>LOVE16</t>
  </si>
  <si>
    <t>ROAD20</t>
  </si>
  <si>
    <t>Xe đạp 20</t>
  </si>
  <si>
    <t>SMQI 20 Có đề</t>
  </si>
  <si>
    <t>AURA-20</t>
  </si>
  <si>
    <t>Cục sạc tự ngắt điện 6 ĐÈN ( ABRAHAM 48V14AH )</t>
  </si>
  <si>
    <t>Phụ Tùng Sạc</t>
  </si>
  <si>
    <t>Cái</t>
  </si>
  <si>
    <t>LUCKY 20 Nữ</t>
  </si>
  <si>
    <t>HHZVE 16 Nam</t>
  </si>
  <si>
    <t>LOVE12</t>
  </si>
  <si>
    <t>FH16 Nam</t>
  </si>
  <si>
    <t>FH12</t>
  </si>
  <si>
    <t>SUPER 20</t>
  </si>
  <si>
    <t>BIKE24 Nữ Kèm rổ và cây đỡ rổ</t>
  </si>
  <si>
    <t>DS 20 Vành Mài</t>
  </si>
  <si>
    <t>RC200 Nhôm</t>
  </si>
  <si>
    <t>Xe đạp 700C</t>
  </si>
  <si>
    <t>26BIKE Nhôm</t>
  </si>
  <si>
    <t>Xe đạp 26</t>
  </si>
  <si>
    <t>LOVE20</t>
  </si>
  <si>
    <t>XADS20</t>
  </si>
  <si>
    <t>LADY26 Nữ Kèm rổ và cây đỡ rổ</t>
  </si>
  <si>
    <t>3DAO-20</t>
  </si>
  <si>
    <t>PRO24</t>
  </si>
  <si>
    <t>Sạc Charger 6 Đèn 48V14AH</t>
  </si>
  <si>
    <t>DS18</t>
  </si>
  <si>
    <t>Xe đạp 18</t>
  </si>
  <si>
    <t>ROAD18</t>
  </si>
  <si>
    <t>NU20 Kèm rổ và cây bắt rổ</t>
  </si>
  <si>
    <t>A700</t>
  </si>
  <si>
    <t>FH20</t>
  </si>
  <si>
    <t>T3-700C</t>
  </si>
  <si>
    <t>XT100-24 Có Đề</t>
  </si>
  <si>
    <t>BIKE26 Nữ Kèm rổ và cây đỡ rổ</t>
  </si>
  <si>
    <t>HHZVE 12 Nam</t>
  </si>
  <si>
    <t>DANCE 24 Kèm rổ</t>
  </si>
  <si>
    <t>LOVE18</t>
  </si>
  <si>
    <t>PRO26</t>
  </si>
  <si>
    <t>UNICORN 16 Nữ</t>
  </si>
  <si>
    <t>A920 Cổ Ngang</t>
  </si>
  <si>
    <t>CNC26 Vành Mài Có đề</t>
  </si>
  <si>
    <t>COOL26 Nhôm</t>
  </si>
  <si>
    <t>COOL 16 Nam</t>
  </si>
  <si>
    <t>COFFEE24 Nữ Không Đề Kèm rổ Trắng</t>
  </si>
  <si>
    <t>S260</t>
  </si>
  <si>
    <t>XT100 26 Không đề</t>
  </si>
  <si>
    <t>Sạc Charger 2 Đèn 48V14AH</t>
  </si>
  <si>
    <t>BÊN XƯỞNG KO CÓ HÀNG</t>
  </si>
  <si>
    <t>MTB16NAM</t>
  </si>
  <si>
    <t>XK 24 Abraham</t>
  </si>
  <si>
    <t>IC Bộ Điều Tốc Đa Năng 6G 36/48V 400W</t>
  </si>
  <si>
    <t>Phụ Tùng IC</t>
  </si>
  <si>
    <t>S240</t>
  </si>
  <si>
    <t>COOL 12 Nam</t>
  </si>
  <si>
    <t>XT100-26 Có Đề</t>
  </si>
  <si>
    <t>24BIKE Nhôm</t>
  </si>
  <si>
    <t>CITY 24 (Kèm rỗ và cây bắt rỗ)</t>
  </si>
  <si>
    <t>KN12</t>
  </si>
  <si>
    <t>IC Bộ Điều Tốc Đa Năng 500W</t>
  </si>
  <si>
    <t>KN20</t>
  </si>
  <si>
    <t>RS350 700C Cổ Cong</t>
  </si>
  <si>
    <t>SMQI 26 Có đề</t>
  </si>
  <si>
    <t>FH14</t>
  </si>
  <si>
    <t>Xe đạp 14</t>
  </si>
  <si>
    <t>DANCE 26 Kèm rổ</t>
  </si>
  <si>
    <t>MTB12NAM</t>
  </si>
  <si>
    <t>RS750 700C Cổ Cong</t>
  </si>
  <si>
    <t>COLORFUL 26 Kèm rổ và cây đỡ rổ</t>
  </si>
  <si>
    <t>TREXR18</t>
  </si>
  <si>
    <t>FH18</t>
  </si>
  <si>
    <t>TREXR20</t>
  </si>
  <si>
    <t>RC500 Thép Cổ Ngang</t>
  </si>
  <si>
    <t>KN16</t>
  </si>
  <si>
    <t>LUCKY 18 Nữ</t>
  </si>
  <si>
    <t>ARC26 Vành 3 Phân Có đề</t>
  </si>
  <si>
    <t>3DAO-24</t>
  </si>
  <si>
    <t>CỤC SẠC CHỐNG NƯỚC (ABRAHAM 48V14AH)</t>
  </si>
  <si>
    <t>FU-16</t>
  </si>
  <si>
    <t>GT100Nhôm 700C</t>
  </si>
  <si>
    <t>MTB20NAM</t>
  </si>
  <si>
    <t>COOL 20 Nam</t>
  </si>
  <si>
    <t>CityLady 20 (Kèm rỗ và cây bắt rỗ)</t>
  </si>
  <si>
    <t>SPEED26</t>
  </si>
  <si>
    <t>A240Nhôm 24</t>
  </si>
  <si>
    <t>X6-20 Cam</t>
  </si>
  <si>
    <t>UNICORN 12 Nữ</t>
  </si>
  <si>
    <t>X6-20 Vàng</t>
  </si>
  <si>
    <t>Cục sạc tự ngắt điện 6 ĐÈN ( YASAKI 48V14AH )</t>
  </si>
  <si>
    <t>LP 10 Cổ Ngang 700C</t>
  </si>
  <si>
    <t>POWER SPORT16</t>
  </si>
  <si>
    <t>A200 Nhôm 700c Cổ Ngang</t>
  </si>
  <si>
    <t>X6-26 Không Đề</t>
  </si>
  <si>
    <t>SUMAIQI26 Không đề</t>
  </si>
  <si>
    <t>LUCKY 14 Nữ</t>
  </si>
  <si>
    <t>X6-20 Đỏ</t>
  </si>
  <si>
    <t>AURA-18</t>
  </si>
  <si>
    <t>BEAR20</t>
  </si>
  <si>
    <t>MTB14NAM</t>
  </si>
  <si>
    <t>BABY16</t>
  </si>
  <si>
    <t>CALIFORNIA-26 Nhôm (Kèm bộ rổ nhựa)</t>
  </si>
  <si>
    <t>FU-18</t>
  </si>
  <si>
    <t>Sạc Charger 2 Đèn 48V20AH</t>
  </si>
  <si>
    <t>BEAUTY24 Có Đề (Kèm rỗ + cây bắt rỗ + Pass)</t>
  </si>
  <si>
    <t>FU-12</t>
  </si>
  <si>
    <t>UNICORN 20 Nữ</t>
  </si>
  <si>
    <t>SPORT 16 Nữ</t>
  </si>
  <si>
    <t>MTB18NAM</t>
  </si>
  <si>
    <t>FHUANG-12 ( Thùng/2xe )</t>
  </si>
  <si>
    <t>X6-20 Dương</t>
  </si>
  <si>
    <t>X6-26 Có Đề</t>
  </si>
  <si>
    <t>LUXIYA16</t>
  </si>
  <si>
    <t>FHUANG-16 ( Thùng/2xe )</t>
  </si>
  <si>
    <t>AURA-16</t>
  </si>
  <si>
    <t>SIBOG-12</t>
  </si>
  <si>
    <t>X6-24 Có Đề</t>
  </si>
  <si>
    <t>BEAUTY26 Có Đề (Kèm rỗ + cây bắt rỗ + Pass)</t>
  </si>
  <si>
    <t>SURF12</t>
  </si>
  <si>
    <t>SPORT 12 Nữ</t>
  </si>
  <si>
    <t>SURF20</t>
  </si>
  <si>
    <t>Cục sạc 2 ĐÈN ( ABRAHAM 48V/14AH )</t>
  </si>
  <si>
    <t>RECING700C</t>
  </si>
  <si>
    <t>Sạc Charger 6 Đèn 48V20AH</t>
  </si>
  <si>
    <t>COFFEE26 Nữ Không Đề Kèm rổ Trắng</t>
  </si>
  <si>
    <t>3DAO-20- Dương Cam</t>
  </si>
  <si>
    <t>Cục sạc 20AH tự ngắt điện 6 ĐÈN ( ABRAHAM 48V20AH )</t>
  </si>
  <si>
    <t>COFFEE26 Nữ Có Đề Kèm rổ Trắng</t>
  </si>
  <si>
    <t>A1 16</t>
  </si>
  <si>
    <t>Gấp 24</t>
  </si>
  <si>
    <t>A200 Nhôm 700c Cổ Cong</t>
  </si>
  <si>
    <t>Bicycle16 Nữ</t>
  </si>
  <si>
    <t>DAY 26 NHÔM KÈM RỖ</t>
  </si>
  <si>
    <t>BEAR18</t>
  </si>
  <si>
    <t>24BIKE Nhôm (tem lợt)</t>
  </si>
  <si>
    <t>UNICORN 14 Nữ</t>
  </si>
  <si>
    <t>24BIKE Nhôm (tem đậm)</t>
  </si>
  <si>
    <t>TREXR14</t>
  </si>
  <si>
    <t>SIBOG-16</t>
  </si>
  <si>
    <t>CNC26 Vành Mài không đề</t>
  </si>
  <si>
    <t>Bơm Xe Đạp A8 - 3818</t>
  </si>
  <si>
    <t>Phụ Tùng Xe Đạp</t>
  </si>
  <si>
    <t>GT100 Nhôm 700C</t>
  </si>
  <si>
    <t>LEISA-24 Nam</t>
  </si>
  <si>
    <t>FHUANG 24 Kèm rỗ và cây bắt rỗ</t>
  </si>
  <si>
    <t>Bơm Xe Đạp 3813</t>
  </si>
  <si>
    <t>Gấp 26</t>
  </si>
  <si>
    <t>Cục sạc tự ngắt điện 6 ĐÈN ( YASAKI 48V20AH )</t>
  </si>
  <si>
    <t>Bicycle12 Nữ</t>
  </si>
  <si>
    <t>SNAKE 20 Có đề</t>
  </si>
  <si>
    <t>Gấp 20</t>
  </si>
  <si>
    <t>SUMAIQI24 Không đề</t>
  </si>
  <si>
    <t>TREXR12</t>
  </si>
  <si>
    <t>Đèn led Trước xe đạp sạc usb</t>
  </si>
  <si>
    <t>24BIKE Nhôm (tem xám)</t>
  </si>
  <si>
    <t>TR12NAM</t>
  </si>
  <si>
    <t>Cục Sạc 2 Đèn 48V/20AH</t>
  </si>
  <si>
    <t>XIDS26</t>
  </si>
  <si>
    <t>DPX Nhôm 700C</t>
  </si>
  <si>
    <t>AL300</t>
  </si>
  <si>
    <t>Panther700C</t>
  </si>
  <si>
    <t>TR18NAM</t>
  </si>
  <si>
    <t>GO12</t>
  </si>
  <si>
    <t>AL600</t>
  </si>
  <si>
    <t>X6-18 Vàng</t>
  </si>
  <si>
    <t>XE CACBON</t>
  </si>
  <si>
    <t>Xe Đạp</t>
  </si>
  <si>
    <t>X6-18 Đỏ</t>
  </si>
  <si>
    <t>700CC Cổ cong</t>
  </si>
  <si>
    <t>X6-18 Dương</t>
  </si>
  <si>
    <t>X6-18 Cam</t>
  </si>
  <si>
    <t>YÊN NGỒI DA ( YÊN BÉO )</t>
  </si>
  <si>
    <t>CÙI THẮNG ĐĨA xe thể thao ( 1 Cặp 2 cái trước và sau )</t>
  </si>
  <si>
    <t>Bơm Xe Đạp A2</t>
  </si>
  <si>
    <t>Bánh Phụ Xe Trẻ Em ( Có Đèn )</t>
  </si>
  <si>
    <t>Bộ</t>
  </si>
  <si>
    <t>IC Bộ Điều Tốc Đa Năng 9G 48/64V500–1000W</t>
  </si>
  <si>
    <t>A1 12</t>
  </si>
  <si>
    <t>TWITTER700CC</t>
  </si>
  <si>
    <t>IC Bộ Điều Tốc Đa Năng 12G 48/64V800–1000W</t>
  </si>
  <si>
    <t>CNC24 Vành Mài Có Đề</t>
  </si>
  <si>
    <t>SMQI26 - Cam (không đề)</t>
  </si>
  <si>
    <t>XK26</t>
  </si>
  <si>
    <t>IC Bộ Điều Tốc Đa Năng 6G 48/64V400–500W</t>
  </si>
  <si>
    <t>NU26 Kèm Rổ Inox và Cây bắt</t>
  </si>
  <si>
    <t>Sạc Charger 2 Đèn 60V20AH</t>
  </si>
  <si>
    <t>Phí ráp xe</t>
  </si>
  <si>
    <t>Dịch vụ</t>
  </si>
  <si>
    <t>Bơm Xe Đạp A3</t>
  </si>
  <si>
    <t>NU 12 Nữ</t>
  </si>
  <si>
    <t>QI20 - Có đề</t>
  </si>
  <si>
    <t>Trợ Lực Nữ mã số 1 ( Nhôm 26 inch )</t>
  </si>
  <si>
    <t>Xe điện</t>
  </si>
  <si>
    <t>Líp 7 tầng xe địa hình</t>
  </si>
  <si>
    <t>IC Bộ Điều Tốc Đa Năng 12G 48/60/72V1200W</t>
  </si>
  <si>
    <t>Líp 16 Răng ( Hộp đỏ )</t>
  </si>
  <si>
    <t>Tay Bấm Xã SHIMANO</t>
  </si>
  <si>
    <t>Bộ đèn hậu chớp cảnh báo</t>
  </si>
  <si>
    <t>Cốt Bạc Đạn 118MM</t>
  </si>
  <si>
    <t>HHZVE 20 Nam</t>
  </si>
  <si>
    <t>Cùi Đề Shimano</t>
  </si>
  <si>
    <t>KIDS 20 Nam</t>
  </si>
  <si>
    <t>RT26</t>
  </si>
  <si>
    <t>IC Bộ Điều Tốc Đa Năng 350W</t>
  </si>
  <si>
    <t>M2619</t>
  </si>
  <si>
    <t>SMQI26 - Đỏ (không đề)</t>
  </si>
  <si>
    <t>Cùi Đề XTLM</t>
  </si>
  <si>
    <t>RC700 Thép Cổ Cong</t>
  </si>
  <si>
    <t>Yên Xe Nam Thể Thao</t>
  </si>
  <si>
    <t>NU 20 Nữ</t>
  </si>
  <si>
    <t>TREXR16</t>
  </si>
  <si>
    <t>Nón Bảo Hiểm Thể Thao</t>
  </si>
  <si>
    <t>A260Nhôm 26</t>
  </si>
  <si>
    <t>Chân chống</t>
  </si>
  <si>
    <t>MHN 26 Kèm Rổ và Cây bắt rổ</t>
  </si>
  <si>
    <t>ABRAHAM-26 KHÔNG ĐỀ</t>
  </si>
  <si>
    <t>BIKE24 CÓ ĐỀ</t>
  </si>
  <si>
    <t>FHUANG 20 Kèm rỗ và cây bắt rỗ</t>
  </si>
  <si>
    <t>Trợ Lực Nam mã số 3</t>
  </si>
  <si>
    <t>IC Bộ Điều Tốc Đa Năng 15G 48/64V1200W</t>
  </si>
  <si>
    <t>BÀN ĐẠP NHÔM</t>
  </si>
  <si>
    <t>Gọng đỡ và bình nước</t>
  </si>
  <si>
    <t>Bộ rỗ xe nữ 24 inch</t>
  </si>
  <si>
    <t>MTB12</t>
  </si>
  <si>
    <t>SMQI26 - Xanh Dương (không đề)</t>
  </si>
  <si>
    <t>Sên xe đạp XTLM M30</t>
  </si>
  <si>
    <t>GA26</t>
  </si>
  <si>
    <t>SURF16</t>
  </si>
  <si>
    <t>TRE12</t>
  </si>
  <si>
    <t>SAT 26 Kèm rỗ nhựa và cây đỡ rỗ</t>
  </si>
  <si>
    <t>GO16</t>
  </si>
  <si>
    <t>Bộ rỗ xe nữ 26 inch</t>
  </si>
  <si>
    <t>KIDS 12Nam</t>
  </si>
  <si>
    <t>M2419</t>
  </si>
  <si>
    <t>VERYBODY C24 KÈM RỔ</t>
  </si>
  <si>
    <t>CNC24 ko đề</t>
  </si>
  <si>
    <t>Bicycle 20 Kèm rổ và cây bắt rổ</t>
  </si>
  <si>
    <t>ARC-24 có đề</t>
  </si>
  <si>
    <t>Gấp U8</t>
  </si>
  <si>
    <t>TR12 Nữ</t>
  </si>
  <si>
    <t>NU24</t>
  </si>
  <si>
    <t>Bộ khóa dây</t>
  </si>
  <si>
    <t>NU 18 Nữ</t>
  </si>
  <si>
    <t>SMQI 24 Có đề</t>
  </si>
  <si>
    <t>Nón Bảo Hiểm Tai Mèo Cho Bé</t>
  </si>
  <si>
    <t>Cặp dè nhỏ 700c</t>
  </si>
  <si>
    <t>SMAIQI 20 Không đề</t>
  </si>
  <si>
    <t>COLORFUL 24 Kèm rổ và cây đỡ rổ</t>
  </si>
  <si>
    <t>Bơm Xe Đạp A1</t>
  </si>
  <si>
    <t>DW20</t>
  </si>
  <si>
    <t>ABRAHAM-24 KHÔNG ĐỀ</t>
  </si>
  <si>
    <t>A2 16</t>
  </si>
  <si>
    <t>Abraham20</t>
  </si>
  <si>
    <t>RT24</t>
  </si>
  <si>
    <t>RT24 đỏ</t>
  </si>
  <si>
    <t>Bộ Chén Dĩa Liền Cốt</t>
  </si>
  <si>
    <t>HHZVE16</t>
  </si>
  <si>
    <t>EVERYDAY24</t>
  </si>
  <si>
    <t>T26A đen</t>
  </si>
  <si>
    <t>NO 2 Kèm Rổ 24 inch</t>
  </si>
  <si>
    <t>Khóa Dây 4 Số</t>
  </si>
  <si>
    <t>SMQI-24 - Cam (không đề)</t>
  </si>
  <si>
    <t>Túi treo</t>
  </si>
  <si>
    <t>FUMA20</t>
  </si>
  <si>
    <t>JB20</t>
  </si>
  <si>
    <t>HT20</t>
  </si>
  <si>
    <t>NAM26</t>
  </si>
  <si>
    <t>ARC-26 vành 3 phân vàng xanh</t>
  </si>
  <si>
    <t>Phí ráp xe và giao hàng</t>
  </si>
  <si>
    <t>Cặp tay thắng xe trẻ em</t>
  </si>
  <si>
    <t>CL-28 đỏ</t>
  </si>
  <si>
    <t>CNC24 Vành Mài không đề</t>
  </si>
  <si>
    <t>UNICORN 18 Nữ</t>
  </si>
  <si>
    <t>GRACEFUL 12 Nữ</t>
  </si>
  <si>
    <t>Bơm Xe Đạp T5</t>
  </si>
  <si>
    <t>Túi treo sườn 3 ngăn</t>
  </si>
  <si>
    <t>RUỘT XE 18 INCH</t>
  </si>
  <si>
    <t>HON1628</t>
  </si>
  <si>
    <t>ZOO 20 Nữ</t>
  </si>
  <si>
    <t>FHU16</t>
  </si>
  <si>
    <t>CAMBE26</t>
  </si>
  <si>
    <t>722</t>
  </si>
  <si>
    <t>HQ2412 dương</t>
  </si>
  <si>
    <t>Đĩa thắng có gai vặn</t>
  </si>
  <si>
    <t>AN0808</t>
  </si>
  <si>
    <t>ARC26 Không đề</t>
  </si>
  <si>
    <t>FHSX-700C</t>
  </si>
  <si>
    <t>TRE20</t>
  </si>
  <si>
    <t>Bơm Xe Đạp A4</t>
  </si>
  <si>
    <t>HQ2412 lá</t>
  </si>
  <si>
    <t>T26A dương</t>
  </si>
  <si>
    <t>NO 1 Kèm Rổ 24 inch</t>
  </si>
  <si>
    <t>II SABER16</t>
  </si>
  <si>
    <t>VỎ XE 12 INCH</t>
  </si>
  <si>
    <t>SMQI26 - Đen Đỏ (không đề)</t>
  </si>
  <si>
    <t>NU 16 Nữ</t>
  </si>
  <si>
    <t>MGLH26</t>
  </si>
  <si>
    <t>Khung sườn xe 700C</t>
  </si>
  <si>
    <t>YY 183</t>
  </si>
  <si>
    <t>TT26</t>
  </si>
  <si>
    <t>NU 14 Nữ</t>
  </si>
  <si>
    <t>BEAR16</t>
  </si>
  <si>
    <t>ZOO 12 Nữ</t>
  </si>
  <si>
    <t>Cặp thắng phụ</t>
  </si>
  <si>
    <t>BEAR12</t>
  </si>
  <si>
    <t>BICYCLE 24 ko đề đen đỏ</t>
  </si>
  <si>
    <t>BICYCLE-26 ko đề cam</t>
  </si>
  <si>
    <t>BICYCLE26 ko đề cam</t>
  </si>
  <si>
    <t>BICYCLE26 ko đề xám lá</t>
  </si>
  <si>
    <t>SMQI-26 có đề</t>
  </si>
  <si>
    <t>JB18 - (Vành 3 phân)</t>
  </si>
  <si>
    <t>20NU</t>
  </si>
  <si>
    <t>Dây Khóa Số</t>
  </si>
  <si>
    <t>X6 20inch</t>
  </si>
  <si>
    <t>VỎ XE 20 INCH</t>
  </si>
  <si>
    <t>Ghi dong cong 700c</t>
  </si>
  <si>
    <t>RUỘT XE 12 INCH</t>
  </si>
  <si>
    <t>AINI12</t>
  </si>
  <si>
    <t>ZOO 18 Nữ</t>
  </si>
  <si>
    <t>RUỘT XE 20 INCH</t>
  </si>
  <si>
    <t>Cặp niền 700c ( không vỏ ruột )</t>
  </si>
  <si>
    <t>VỎ XE 18 INCH</t>
  </si>
  <si>
    <t>Dây quấn cổ xe 700C</t>
  </si>
  <si>
    <t>Potang Nữ 20 Inch</t>
  </si>
  <si>
    <t>RUỘT XE 16 INCH</t>
  </si>
  <si>
    <t>Rỗ nhựa xe trẻ em</t>
  </si>
  <si>
    <t>Đĩa thắng bắt ốc</t>
  </si>
  <si>
    <t>Bộ rỗ nhựa</t>
  </si>
  <si>
    <t>CỤC SẠC TỰ NGẮT ĐIỆN 6 ĐÈN (AUTOTOK 48V14AH)</t>
  </si>
  <si>
    <t>KIDS 16 Nam</t>
  </si>
  <si>
    <t>Mâm 3 Dao 24 inch</t>
  </si>
  <si>
    <t>SZ12</t>
  </si>
  <si>
    <t>YOUYU 1298</t>
  </si>
  <si>
    <t>Bộ Vỏ Ruột 700C</t>
  </si>
  <si>
    <t>Chuông xe đạp</t>
  </si>
  <si>
    <t>CỐT BẠC ĐẠN 122.5</t>
  </si>
  <si>
    <t>Bánh sau xe 18 inch Vành Mài</t>
  </si>
  <si>
    <t>Bánh xe thể thao 26 ( nguyên bộ bánh sau KHÔNG vỏ ruột )</t>
  </si>
  <si>
    <t>Bánh xe 18 inch</t>
  </si>
  <si>
    <t>Bánh sau xe 3DAO 20</t>
  </si>
  <si>
    <t>VỎ XE 16 INCH</t>
  </si>
  <si>
    <t>Bánh xe 12 inch</t>
  </si>
  <si>
    <t>RUỘT XE 14 INCH</t>
  </si>
  <si>
    <t>Bánh xe sau của lucky 20 không vỏ ruột</t>
  </si>
  <si>
    <t>ROCKY-20 Nam</t>
  </si>
  <si>
    <t>Cặp Gôm Má Phanh Xe Đạp</t>
  </si>
  <si>
    <t>Bộ ráp xe đạp</t>
  </si>
  <si>
    <t>Cặp Tay đề vặn</t>
  </si>
  <si>
    <t>Ống bơm Mini</t>
  </si>
  <si>
    <t>Phuộc trước xe trẻ em 16 inch</t>
  </si>
  <si>
    <t>Phuộc trước xe trẻ em 20 inch</t>
  </si>
  <si>
    <t>Phuột xe 20 inch</t>
  </si>
  <si>
    <t>CHÂN CHỐNG 18 VÀ 20 INCH</t>
  </si>
  <si>
    <t>Bình Nước Nhôm</t>
  </si>
  <si>
    <t>Miếng Dán Bảo Vệ Dây Sên</t>
  </si>
  <si>
    <t>AINI0529</t>
  </si>
  <si>
    <t>Bộ rỗ xe nữ 20 inch</t>
  </si>
  <si>
    <t>CZ1209</t>
  </si>
  <si>
    <t>DIEN20</t>
  </si>
  <si>
    <t>HOLA20</t>
  </si>
  <si>
    <t>Kiện đồ bù bảo hành cho khách</t>
  </si>
  <si>
    <t>Lần</t>
  </si>
  <si>
    <t>Nhận xe Khách hàng trả</t>
  </si>
  <si>
    <t>PNO-700 CỔ CONG</t>
  </si>
  <si>
    <t>VERYBODYC24</t>
  </si>
  <si>
    <t>XO-20</t>
  </si>
  <si>
    <t>Chiết khấu đơn hàng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</si>
</sst>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#,##0.0000"/>
  </numFmts>
  <fonts count="7">
    <font>
      <sz val="10.0"/>
      <color theme="1"/>
      <name val="Calibri"/>
      <scheme val="minor"/>
    </font>
    <font>
      <b/>
      <sz val="12.0"/>
      <color theme="1"/>
      <name val="Times New Roman"/>
    </font>
    <font>
      <b/>
      <sz val="12.0"/>
      <color rgb="FF000000"/>
      <name val="Times New Roman"/>
    </font>
    <font>
      <b/>
      <sz val="12.0"/>
      <color rgb="FFFF0000"/>
      <name val="Times New Roman"/>
    </font>
    <font>
      <sz val="12.0"/>
      <color theme="1"/>
      <name val="Times New Roman"/>
    </font>
    <font>
      <sz val="12.0"/>
      <color rgb="FF000000"/>
      <name val="Times New Roman"/>
    </font>
    <font>
      <sz val="12.0"/>
      <color rgb="FFFF0000"/>
      <name val="Times New Roman"/>
    </font>
  </fonts>
  <fills count="10">
    <fill>
      <patternFill patternType="none"/>
    </fill>
    <fill>
      <patternFill patternType="lightGray"/>
    </fill>
    <fill>
      <patternFill patternType="solid">
        <fgColor rgb="FF00FF00"/>
        <bgColor rgb="FF00FF00"/>
      </patternFill>
    </fill>
    <fill>
      <patternFill patternType="solid">
        <fgColor rgb="FF00FFFF"/>
        <bgColor rgb="FF00FFFF"/>
      </patternFill>
    </fill>
    <fill>
      <patternFill patternType="solid">
        <fgColor rgb="FF9FC5E8"/>
        <bgColor rgb="FF9FC5E8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theme="5"/>
        <bgColor theme="5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</fills>
  <borders count="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vertical="center"/>
    </xf>
    <xf borderId="0" fillId="2" fontId="1" numFmtId="0" xfId="0" applyAlignment="1" applyFill="1" applyFont="1">
      <alignment horizontal="center" vertical="center"/>
    </xf>
    <xf borderId="0" fillId="3" fontId="1" numFmtId="3" xfId="0" applyAlignment="1" applyFill="1" applyFont="1" applyNumberFormat="1">
      <alignment horizontal="center" vertical="center"/>
    </xf>
    <xf borderId="0" fillId="0" fontId="2" numFmtId="0" xfId="0" applyAlignment="1" applyFont="1">
      <alignment horizontal="center" vertical="center"/>
    </xf>
    <xf borderId="0" fillId="4" fontId="3" numFmtId="0" xfId="0" applyAlignment="1" applyFill="1" applyFont="1">
      <alignment horizontal="center" vertical="center"/>
    </xf>
    <xf borderId="1" fillId="5" fontId="1" numFmtId="0" xfId="0" applyAlignment="1" applyBorder="1" applyFill="1" applyFont="1">
      <alignment shrinkToFit="0" vertical="center" wrapText="1"/>
    </xf>
    <xf borderId="1" fillId="6" fontId="1" numFmtId="3" xfId="0" applyAlignment="1" applyBorder="1" applyFill="1" applyFont="1" applyNumberFormat="1">
      <alignment horizontal="right" shrinkToFit="0" vertical="center" wrapText="1"/>
    </xf>
    <xf borderId="1" fillId="7" fontId="1" numFmtId="3" xfId="0" applyAlignment="1" applyBorder="1" applyFill="1" applyFont="1" applyNumberFormat="1">
      <alignment horizontal="right" shrinkToFit="0" vertical="center" wrapText="1"/>
    </xf>
    <xf borderId="1" fillId="5" fontId="1" numFmtId="164" xfId="0" applyAlignment="1" applyBorder="1" applyFill="1" applyFont="1" applyNumberFormat="1">
      <alignment horizontal="right" shrinkToFit="0" vertical="center" wrapText="1"/>
    </xf>
    <xf borderId="0" fillId="2" fontId="4" numFmtId="0" xfId="0" applyFill="1" applyFont="1"/>
    <xf borderId="0" fillId="0" fontId="4" numFmtId="0" xfId="0" applyFont="1"/>
    <xf borderId="0" fillId="3" fontId="4" numFmtId="3" xfId="0" applyFill="1" applyFont="1" applyNumberFormat="1"/>
    <xf borderId="0" fillId="0" fontId="5" numFmtId="0" xfId="0" applyFont="1"/>
    <xf borderId="0" fillId="4" fontId="6" numFmtId="0" xfId="0" applyFill="1" applyFont="1"/>
    <xf borderId="1" fillId="5" fontId="1" numFmtId="0" xfId="0" applyAlignment="1" applyBorder="1" applyFill="1" applyFont="1">
      <alignment horizontal="center" shrinkToFit="0" vertical="center" wrapText="1"/>
    </xf>
    <xf borderId="1" fillId="6" fontId="1" numFmtId="0" xfId="0" applyAlignment="1" applyBorder="1" applyFill="1" applyFont="1">
      <alignment horizontal="center" shrinkToFit="0" vertical="center" wrapText="1"/>
    </xf>
    <xf borderId="1" fillId="7" fontId="1" numFmtId="0" xfId="0" applyAlignment="1" applyBorder="1" applyFill="1" applyFont="1">
      <alignment horizontal="center" shrinkToFit="0" vertical="center" wrapText="1"/>
    </xf>
    <xf borderId="2" fillId="5" fontId="1" numFmtId="0" xfId="0" applyAlignment="1" applyBorder="1" applyFill="1" applyFont="1">
      <alignment horizontal="center" shrinkToFit="0" vertical="center" wrapText="1"/>
    </xf>
    <xf borderId="1" fillId="2" fontId="1" numFmtId="0" xfId="0" applyAlignment="1" applyBorder="1" applyFill="1" applyFont="1">
      <alignment horizontal="center" shrinkToFit="0" vertical="center" wrapText="1"/>
    </xf>
    <xf borderId="1" fillId="8" fontId="1" numFmtId="0" xfId="0" applyAlignment="1" applyBorder="1" applyFill="1" applyFont="1">
      <alignment horizontal="center" shrinkToFit="0" vertical="center" wrapText="1"/>
    </xf>
    <xf borderId="0" fillId="0" fontId="5" numFmtId="0" xfId="0" applyAlignment="1" applyFont="1">
      <alignment readingOrder="0"/>
    </xf>
    <xf borderId="0" fillId="0" fontId="6" numFmtId="0" xfId="0" applyFont="1"/>
    <xf borderId="1" fillId="0" fontId="4" numFmtId="0" xfId="0" applyAlignment="1" applyBorder="1" applyFont="1">
      <alignment shrinkToFit="0" vertical="center" wrapText="1"/>
    </xf>
    <xf borderId="1" fillId="6" fontId="4" numFmtId="3" xfId="0" applyAlignment="1" applyBorder="1" applyFill="1" applyFont="1" applyNumberFormat="1">
      <alignment horizontal="right" shrinkToFit="0" vertical="center" wrapText="1"/>
    </xf>
    <xf borderId="1" fillId="7" fontId="4" numFmtId="3" xfId="0" applyAlignment="1" applyBorder="1" applyFill="1" applyFont="1" applyNumberFormat="1">
      <alignment horizontal="right" shrinkToFit="0" vertical="center" wrapText="1"/>
    </xf>
    <xf borderId="2" fillId="0" fontId="4" numFmtId="3" xfId="0" applyAlignment="1" applyBorder="1" applyFont="1" applyNumberFormat="1">
      <alignment horizontal="right" shrinkToFit="0" vertical="center" wrapText="1"/>
    </xf>
    <xf borderId="1" fillId="2" fontId="4" numFmtId="4" xfId="0" applyAlignment="1" applyBorder="1" applyFill="1" applyFont="1" applyNumberFormat="1">
      <alignment vertical="center"/>
    </xf>
    <xf borderId="1" fillId="7" fontId="4" numFmtId="4" xfId="0" applyAlignment="1" applyBorder="1" applyFill="1" applyFont="1" applyNumberFormat="1">
      <alignment vertical="center"/>
    </xf>
    <xf borderId="1" fillId="0" fontId="5" numFmtId="4" xfId="0" applyAlignment="1" applyBorder="1" applyFont="1" applyNumberFormat="1">
      <alignment horizontal="right" shrinkToFit="0" vertical="center" wrapText="0"/>
    </xf>
    <xf borderId="0" fillId="3" fontId="4" numFmtId="4" xfId="0" applyAlignment="1" applyFill="1" applyFont="1" applyNumberFormat="1">
      <alignment vertical="center"/>
    </xf>
    <xf borderId="0" fillId="0" fontId="5" numFmtId="4" xfId="0" applyAlignment="1" applyFont="1" applyNumberFormat="1">
      <alignment vertical="center"/>
    </xf>
    <xf borderId="0" fillId="0" fontId="6" numFmtId="4" xfId="0" applyAlignment="1" applyFont="1" applyNumberFormat="1">
      <alignment vertical="center"/>
    </xf>
    <xf borderId="0" fillId="0" fontId="4" numFmtId="0" xfId="0" applyAlignment="1" applyFont="1">
      <alignment vertical="center"/>
    </xf>
    <xf borderId="1" fillId="0" fontId="5" numFmtId="4" xfId="0" applyAlignment="1" applyBorder="1" applyFont="1" applyNumberFormat="1">
      <alignment shrinkToFit="0" vertical="center" wrapText="0"/>
    </xf>
    <xf borderId="1" fillId="9" fontId="4" numFmtId="0" xfId="0" applyAlignment="1" applyBorder="1" applyFill="1" applyFont="1">
      <alignment shrinkToFit="0" vertical="center" wrapText="1"/>
    </xf>
    <xf borderId="1" fillId="9" fontId="4" numFmtId="3" xfId="0" applyAlignment="1" applyBorder="1" applyFill="1" applyFont="1" applyNumberFormat="1">
      <alignment horizontal="right" shrinkToFit="0" vertical="center" wrapText="1"/>
    </xf>
    <xf borderId="2" fillId="9" fontId="4" numFmtId="3" xfId="0" applyAlignment="1" applyBorder="1" applyFill="1" applyFont="1" applyNumberFormat="1">
      <alignment horizontal="right" shrinkToFit="0" vertical="center" wrapText="1"/>
    </xf>
    <xf borderId="1" fillId="9" fontId="5" numFmtId="4" xfId="0" applyAlignment="1" applyBorder="1" applyFill="1" applyFont="1" applyNumberFormat="1">
      <alignment shrinkToFit="0" vertical="center" wrapText="0"/>
    </xf>
    <xf borderId="0" fillId="9" fontId="5" numFmtId="4" xfId="0" applyAlignment="1" applyFill="1" applyFont="1" applyNumberFormat="1">
      <alignment vertical="center"/>
    </xf>
    <xf borderId="0" fillId="9" fontId="6" numFmtId="4" xfId="0" applyAlignment="1" applyFill="1" applyFont="1" applyNumberFormat="1">
      <alignment vertical="center"/>
    </xf>
    <xf borderId="0" fillId="9" fontId="4" numFmtId="0" xfId="0" applyAlignment="1" applyFill="1" applyFont="1">
      <alignment vertical="center"/>
    </xf>
    <xf borderId="0" fillId="9" fontId="4" numFmtId="0" xfId="0" applyFill="1" applyFont="1"/>
    <xf borderId="0" fillId="0" fontId="4" numFmtId="0" xfId="0" applyFont="1"/>
    <xf borderId="0" fillId="0" fontId="5" numFmtId="0" xfId="0" applyAlignment="1" applyFont="1">
      <alignment shrinkToFit="0" vertical="bottom" wrapText="0"/>
    </xf>
  </cellXfs>
  <cellStyles count="1">
    <cellStyle xfId="0" name="Normal" builtinId="0"/>
  </cellStyles>
  <dxfs count="1">
    <dxf>
      <font/>
      <fill>
        <patternFill patternType="solid">
          <fgColor rgb="FFB7E1CD"/>
          <bgColor rgb="FFB7E1CD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57"/>
    <col customWidth="1" min="2" max="2" width="15.57"/>
    <col customWidth="1" hidden="1" min="3" max="3" width="7.86"/>
    <col customWidth="1" hidden="1" min="4" max="4" width="15.86"/>
    <col customWidth="1" hidden="1" min="5" max="5" width="16.43"/>
    <col customWidth="1" hidden="1" min="6" max="6" width="6.57"/>
    <col customWidth="1" hidden="1" min="7" max="7" width="7.43"/>
    <col customWidth="1" hidden="1" min="8" max="8" width="14.71"/>
    <col customWidth="1" hidden="1" min="9" max="9" width="16.43"/>
    <col customWidth="1" min="10" max="10" width="19.43"/>
    <col customWidth="1" min="11" max="11" width="18.0"/>
    <col customWidth="1" min="12" max="12" width="19.0"/>
    <col customWidth="1" min="13" max="13" width="10.57"/>
    <col customWidth="1" min="14" max="14" width="31.14"/>
    <col customWidth="1" min="15" max="15" width="16.29"/>
    <col customWidth="1" min="16" max="16" width="18.86"/>
    <col customWidth="1" min="17" max="17" width="25.71"/>
    <col customWidth="1" min="18" max="26" width="8.71"/>
  </cols>
  <sheetData>
    <row r="1" ht="12.7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/>
      <c r="P1" s="3"/>
      <c r="Q1" s="1"/>
      <c r="R1" s="1"/>
      <c r="S1" s="1"/>
      <c r="T1" s="1"/>
      <c r="U1" s="1"/>
      <c r="V1" s="1"/>
      <c r="W1" s="1"/>
      <c r="X1" s="1"/>
      <c r="Y1" s="1"/>
      <c r="Z1" s="1"/>
    </row>
    <row r="2" ht="12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2"/>
      <c r="P2" s="3"/>
      <c r="Q2" s="1"/>
      <c r="R2" s="1"/>
      <c r="S2" s="1"/>
      <c r="T2" s="1"/>
      <c r="U2" s="1"/>
      <c r="V2" s="1"/>
      <c r="W2" s="1"/>
      <c r="X2" s="1"/>
      <c r="Y2" s="1"/>
      <c r="Z2" s="1"/>
    </row>
    <row r="3" ht="12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2"/>
      <c r="P3" s="3"/>
      <c r="Q3" s="4"/>
      <c r="R3" s="4"/>
      <c r="S3" s="4"/>
      <c r="T3" s="4"/>
      <c r="U3" s="4"/>
      <c r="V3" s="4"/>
      <c r="W3" s="4"/>
      <c r="X3" s="4"/>
      <c r="Y3" s="4"/>
      <c r="Z3" s="4"/>
    </row>
    <row r="4" ht="1.5" customHeight="1">
      <c r="A4" s="4"/>
      <c r="K4" s="5"/>
      <c r="L4" s="4"/>
      <c r="M4" s="4"/>
      <c r="N4" s="6"/>
      <c r="O4" s="7"/>
      <c r="P4" s="8"/>
      <c r="Q4" s="4"/>
      <c r="R4" s="4"/>
      <c r="S4" s="4"/>
      <c r="T4" s="4"/>
      <c r="U4" s="4"/>
      <c r="V4" s="4"/>
      <c r="W4" s="4"/>
      <c r="X4" s="4"/>
      <c r="Y4" s="4"/>
      <c r="Z4" s="4"/>
    </row>
    <row r="5" ht="12.75" customHeight="1">
      <c r="A5" s="9"/>
      <c r="B5" s="9"/>
      <c r="C5" s="9"/>
      <c r="D5" s="10"/>
      <c r="E5" s="11">
        <v>5.5683995956E10</v>
      </c>
      <c r="F5" s="10">
        <v>0.0</v>
      </c>
      <c r="G5" s="11">
        <v>0.0</v>
      </c>
      <c r="H5" s="10"/>
      <c r="I5" s="11">
        <v>5.5683995956E10</v>
      </c>
      <c r="J5" s="12"/>
      <c r="K5" s="13"/>
      <c r="L5" s="14"/>
      <c r="M5" s="14"/>
      <c r="N5" s="15"/>
      <c r="O5" s="16"/>
      <c r="P5" s="17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ht="39.0" customHeight="1">
      <c r="A6" s="18" t="s">
        <v>1</v>
      </c>
      <c r="B6" s="18" t="s">
        <v>2</v>
      </c>
      <c r="C6" s="18" t="s">
        <v>3</v>
      </c>
      <c r="D6" s="19" t="s">
        <v>4</v>
      </c>
      <c r="E6" s="20" t="s">
        <v>5</v>
      </c>
      <c r="F6" s="19" t="s">
        <v>6</v>
      </c>
      <c r="G6" s="20" t="s">
        <v>7</v>
      </c>
      <c r="H6" s="19" t="s">
        <v>8</v>
      </c>
      <c r="I6" s="20" t="s">
        <v>9</v>
      </c>
      <c r="J6" s="21" t="s">
        <v>10</v>
      </c>
      <c r="K6" s="22" t="s">
        <v>11</v>
      </c>
      <c r="L6" s="20" t="s">
        <v>12</v>
      </c>
      <c r="M6" s="23" t="s">
        <v>13</v>
      </c>
      <c r="N6" s="15" t="s">
        <v>14</v>
      </c>
      <c r="O6" s="24" t="s">
        <v>15</v>
      </c>
      <c r="P6" s="25" t="s">
        <v>16</v>
      </c>
      <c r="Q6" s="14" t="s">
        <v>17</v>
      </c>
      <c r="R6" s="14"/>
      <c r="S6" s="14"/>
      <c r="T6" s="14"/>
      <c r="U6" s="14"/>
      <c r="V6" s="14"/>
      <c r="W6" s="14"/>
      <c r="X6" s="14"/>
      <c r="Y6" s="14"/>
      <c r="Z6" s="14"/>
    </row>
    <row r="7" ht="12.75" customHeight="1">
      <c r="A7" s="26" t="s">
        <v>18</v>
      </c>
      <c r="B7" s="26" t="s">
        <v>19</v>
      </c>
      <c r="C7" s="26" t="s">
        <v>20</v>
      </c>
      <c r="D7" s="27">
        <v>1999.0</v>
      </c>
      <c r="E7" s="28">
        <v>1.6062639E9</v>
      </c>
      <c r="F7" s="27">
        <v>0.0</v>
      </c>
      <c r="G7" s="28">
        <v>0.0</v>
      </c>
      <c r="H7" s="27">
        <v>1999.0</v>
      </c>
      <c r="I7" s="28">
        <v>1.6062639E9</v>
      </c>
      <c r="J7" s="29">
        <f t="shared" ref="J7:J363" si="2">IF(H7=0,0,I7/H7)</f>
        <v>803533.7169</v>
      </c>
      <c r="K7" s="30">
        <f t="shared" ref="K7:L7" si="1">H7/12</f>
        <v>166.5833333</v>
      </c>
      <c r="L7" s="31">
        <f t="shared" si="1"/>
        <v>133855325</v>
      </c>
      <c r="M7" s="32">
        <v>0.0</v>
      </c>
      <c r="N7" s="33">
        <f t="shared" ref="N7:N881" si="4">K7*3</f>
        <v>499.75</v>
      </c>
      <c r="O7" s="34">
        <f t="shared" ref="O7:O881" si="5">N7-M7</f>
        <v>499.75</v>
      </c>
      <c r="P7" s="35">
        <f t="shared" ref="P7:P881" si="6">IF(O7&gt;0,O7,"")</f>
        <v>499.75</v>
      </c>
      <c r="Q7" s="36"/>
      <c r="R7" s="14"/>
      <c r="S7" s="14"/>
      <c r="T7" s="14"/>
      <c r="U7" s="14"/>
      <c r="V7" s="14"/>
      <c r="W7" s="14"/>
      <c r="X7" s="14"/>
      <c r="Y7" s="14"/>
      <c r="Z7" s="14"/>
    </row>
    <row r="8" ht="12.75" customHeight="1">
      <c r="A8" s="26" t="s">
        <v>21</v>
      </c>
      <c r="B8" s="26" t="s">
        <v>22</v>
      </c>
      <c r="C8" s="26" t="s">
        <v>20</v>
      </c>
      <c r="D8" s="27">
        <v>995.0</v>
      </c>
      <c r="E8" s="28">
        <v>1.4591834E9</v>
      </c>
      <c r="F8" s="27">
        <v>0.0</v>
      </c>
      <c r="G8" s="28">
        <v>0.0</v>
      </c>
      <c r="H8" s="27">
        <v>995.0</v>
      </c>
      <c r="I8" s="28">
        <v>1.4591834E9</v>
      </c>
      <c r="J8" s="29">
        <f t="shared" si="2"/>
        <v>1466515.98</v>
      </c>
      <c r="K8" s="30">
        <f t="shared" ref="K8:L8" si="3">H8/12</f>
        <v>82.91666667</v>
      </c>
      <c r="L8" s="31">
        <f t="shared" si="3"/>
        <v>121598616.7</v>
      </c>
      <c r="M8" s="32">
        <v>0.0</v>
      </c>
      <c r="N8" s="33">
        <f t="shared" si="4"/>
        <v>248.75</v>
      </c>
      <c r="O8" s="34">
        <f t="shared" si="5"/>
        <v>248.75</v>
      </c>
      <c r="P8" s="35">
        <f t="shared" si="6"/>
        <v>248.75</v>
      </c>
      <c r="Q8" s="36"/>
      <c r="R8" s="14"/>
      <c r="S8" s="14"/>
      <c r="T8" s="14"/>
      <c r="U8" s="14"/>
      <c r="V8" s="14"/>
      <c r="W8" s="14"/>
      <c r="X8" s="14"/>
      <c r="Y8" s="14"/>
      <c r="Z8" s="14"/>
    </row>
    <row r="9" ht="12.75" customHeight="1">
      <c r="A9" s="26" t="s">
        <v>23</v>
      </c>
      <c r="B9" s="26" t="s">
        <v>19</v>
      </c>
      <c r="C9" s="26" t="s">
        <v>20</v>
      </c>
      <c r="D9" s="27">
        <v>1978.0</v>
      </c>
      <c r="E9" s="28">
        <v>1.4376476E9</v>
      </c>
      <c r="F9" s="27">
        <v>0.0</v>
      </c>
      <c r="G9" s="28">
        <v>0.0</v>
      </c>
      <c r="H9" s="27">
        <v>1978.0</v>
      </c>
      <c r="I9" s="28">
        <v>1.4376476E9</v>
      </c>
      <c r="J9" s="29">
        <f t="shared" si="2"/>
        <v>726818.8069</v>
      </c>
      <c r="K9" s="30">
        <f t="shared" ref="K9:L9" si="7">H9/12</f>
        <v>164.8333333</v>
      </c>
      <c r="L9" s="31">
        <f t="shared" si="7"/>
        <v>119803966.7</v>
      </c>
      <c r="M9" s="37">
        <v>395.0</v>
      </c>
      <c r="N9" s="33">
        <f t="shared" si="4"/>
        <v>494.5</v>
      </c>
      <c r="O9" s="34">
        <f t="shared" si="5"/>
        <v>99.5</v>
      </c>
      <c r="P9" s="35">
        <f t="shared" si="6"/>
        <v>99.5</v>
      </c>
      <c r="Q9" s="36"/>
      <c r="R9" s="14"/>
      <c r="S9" s="14"/>
      <c r="T9" s="14"/>
      <c r="U9" s="14"/>
      <c r="V9" s="14"/>
      <c r="W9" s="14"/>
      <c r="X9" s="14"/>
      <c r="Y9" s="14"/>
      <c r="Z9" s="14"/>
    </row>
    <row r="10" ht="12.75" customHeight="1">
      <c r="A10" s="26" t="s">
        <v>24</v>
      </c>
      <c r="B10" s="26" t="s">
        <v>25</v>
      </c>
      <c r="C10" s="26" t="s">
        <v>20</v>
      </c>
      <c r="D10" s="27">
        <v>1803.0</v>
      </c>
      <c r="E10" s="28">
        <v>1.2202814E9</v>
      </c>
      <c r="F10" s="27">
        <v>0.0</v>
      </c>
      <c r="G10" s="28">
        <v>0.0</v>
      </c>
      <c r="H10" s="27">
        <v>1803.0</v>
      </c>
      <c r="I10" s="28">
        <v>1.2202814E9</v>
      </c>
      <c r="J10" s="29">
        <f t="shared" si="2"/>
        <v>676806.1009</v>
      </c>
      <c r="K10" s="30">
        <f t="shared" ref="K10:L10" si="8">H10/12</f>
        <v>150.25</v>
      </c>
      <c r="L10" s="31">
        <f t="shared" si="8"/>
        <v>101690116.7</v>
      </c>
      <c r="M10" s="37">
        <v>399.0</v>
      </c>
      <c r="N10" s="33">
        <f t="shared" si="4"/>
        <v>450.75</v>
      </c>
      <c r="O10" s="34">
        <f t="shared" si="5"/>
        <v>51.75</v>
      </c>
      <c r="P10" s="35">
        <f t="shared" si="6"/>
        <v>51.75</v>
      </c>
      <c r="Q10" s="36"/>
      <c r="R10" s="14"/>
      <c r="S10" s="14"/>
      <c r="T10" s="14"/>
      <c r="U10" s="14"/>
      <c r="V10" s="14"/>
      <c r="W10" s="14"/>
      <c r="X10" s="14"/>
      <c r="Y10" s="14"/>
      <c r="Z10" s="14"/>
    </row>
    <row r="11" ht="12.75" customHeight="1">
      <c r="A11" s="26" t="s">
        <v>26</v>
      </c>
      <c r="B11" s="26" t="s">
        <v>22</v>
      </c>
      <c r="C11" s="26" t="s">
        <v>20</v>
      </c>
      <c r="D11" s="27">
        <v>865.0</v>
      </c>
      <c r="E11" s="28">
        <v>1.1680868E9</v>
      </c>
      <c r="F11" s="27">
        <v>0.0</v>
      </c>
      <c r="G11" s="28">
        <v>0.0</v>
      </c>
      <c r="H11" s="27">
        <v>865.0</v>
      </c>
      <c r="I11" s="28">
        <v>1.1680868E9</v>
      </c>
      <c r="J11" s="29">
        <f t="shared" si="2"/>
        <v>1350389.364</v>
      </c>
      <c r="K11" s="30">
        <f t="shared" ref="K11:L11" si="9">H11/12</f>
        <v>72.08333333</v>
      </c>
      <c r="L11" s="31">
        <f t="shared" si="9"/>
        <v>97340566.67</v>
      </c>
      <c r="M11" s="32">
        <v>0.0</v>
      </c>
      <c r="N11" s="33">
        <f t="shared" si="4"/>
        <v>216.25</v>
      </c>
      <c r="O11" s="34">
        <f t="shared" si="5"/>
        <v>216.25</v>
      </c>
      <c r="P11" s="35">
        <f t="shared" si="6"/>
        <v>216.25</v>
      </c>
      <c r="Q11" s="36"/>
      <c r="R11" s="14"/>
      <c r="S11" s="14"/>
      <c r="T11" s="14"/>
      <c r="U11" s="14"/>
      <c r="V11" s="14"/>
      <c r="W11" s="14"/>
      <c r="X11" s="14"/>
      <c r="Y11" s="14"/>
      <c r="Z11" s="14"/>
    </row>
    <row r="12" ht="12.75" customHeight="1">
      <c r="A12" s="26" t="s">
        <v>27</v>
      </c>
      <c r="B12" s="26" t="s">
        <v>25</v>
      </c>
      <c r="C12" s="26" t="s">
        <v>20</v>
      </c>
      <c r="D12" s="27">
        <v>1554.0</v>
      </c>
      <c r="E12" s="28">
        <v>1.1394724E9</v>
      </c>
      <c r="F12" s="27">
        <v>0.0</v>
      </c>
      <c r="G12" s="28">
        <v>0.0</v>
      </c>
      <c r="H12" s="27">
        <v>1554.0</v>
      </c>
      <c r="I12" s="28">
        <v>1.1394724E9</v>
      </c>
      <c r="J12" s="29">
        <f t="shared" si="2"/>
        <v>733251.2227</v>
      </c>
      <c r="K12" s="30">
        <f t="shared" ref="K12:L12" si="10">H12/12</f>
        <v>129.5</v>
      </c>
      <c r="L12" s="31">
        <f t="shared" si="10"/>
        <v>94956033.33</v>
      </c>
      <c r="M12" s="32">
        <v>4.0</v>
      </c>
      <c r="N12" s="33">
        <f t="shared" si="4"/>
        <v>388.5</v>
      </c>
      <c r="O12" s="34">
        <f t="shared" si="5"/>
        <v>384.5</v>
      </c>
      <c r="P12" s="35">
        <f t="shared" si="6"/>
        <v>384.5</v>
      </c>
      <c r="Q12" s="36"/>
      <c r="R12" s="14"/>
      <c r="S12" s="14"/>
      <c r="T12" s="14"/>
      <c r="U12" s="14"/>
      <c r="V12" s="14"/>
      <c r="W12" s="14"/>
      <c r="X12" s="14"/>
      <c r="Y12" s="14"/>
      <c r="Z12" s="14"/>
    </row>
    <row r="13" ht="12.75" customHeight="1">
      <c r="A13" s="26" t="s">
        <v>28</v>
      </c>
      <c r="B13" s="26" t="s">
        <v>22</v>
      </c>
      <c r="C13" s="26" t="s">
        <v>20</v>
      </c>
      <c r="D13" s="27">
        <v>649.0</v>
      </c>
      <c r="E13" s="28">
        <v>1.0587338E9</v>
      </c>
      <c r="F13" s="27">
        <v>0.0</v>
      </c>
      <c r="G13" s="28">
        <v>0.0</v>
      </c>
      <c r="H13" s="27">
        <v>649.0</v>
      </c>
      <c r="I13" s="28">
        <v>1.0587338E9</v>
      </c>
      <c r="J13" s="29">
        <f t="shared" si="2"/>
        <v>1631330.971</v>
      </c>
      <c r="K13" s="30">
        <f t="shared" ref="K13:L13" si="11">H13/12</f>
        <v>54.08333333</v>
      </c>
      <c r="L13" s="31">
        <f t="shared" si="11"/>
        <v>88227816.67</v>
      </c>
      <c r="M13" s="32">
        <v>309.0</v>
      </c>
      <c r="N13" s="33">
        <f t="shared" si="4"/>
        <v>162.25</v>
      </c>
      <c r="O13" s="34">
        <f t="shared" si="5"/>
        <v>-146.75</v>
      </c>
      <c r="P13" s="35" t="str">
        <f t="shared" si="6"/>
        <v/>
      </c>
      <c r="Q13" s="36"/>
      <c r="R13" s="14"/>
      <c r="S13" s="14"/>
      <c r="T13" s="14"/>
      <c r="U13" s="14"/>
      <c r="V13" s="14"/>
      <c r="W13" s="14"/>
      <c r="X13" s="14"/>
      <c r="Y13" s="14"/>
      <c r="Z13" s="14"/>
    </row>
    <row r="14" ht="12.75" customHeight="1">
      <c r="A14" s="26" t="s">
        <v>29</v>
      </c>
      <c r="B14" s="26" t="s">
        <v>19</v>
      </c>
      <c r="C14" s="26" t="s">
        <v>20</v>
      </c>
      <c r="D14" s="27">
        <v>1352.0</v>
      </c>
      <c r="E14" s="28">
        <v>1.0043852E9</v>
      </c>
      <c r="F14" s="27">
        <v>0.0</v>
      </c>
      <c r="G14" s="28">
        <v>0.0</v>
      </c>
      <c r="H14" s="27">
        <v>1352.0</v>
      </c>
      <c r="I14" s="28">
        <v>1.0043852E9</v>
      </c>
      <c r="J14" s="29">
        <f t="shared" si="2"/>
        <v>742888.4615</v>
      </c>
      <c r="K14" s="30">
        <f t="shared" ref="K14:L14" si="12">H14/12</f>
        <v>112.6666667</v>
      </c>
      <c r="L14" s="31">
        <f t="shared" si="12"/>
        <v>83698766.67</v>
      </c>
      <c r="M14" s="32">
        <v>274.0</v>
      </c>
      <c r="N14" s="33">
        <f t="shared" si="4"/>
        <v>338</v>
      </c>
      <c r="O14" s="34">
        <f t="shared" si="5"/>
        <v>64</v>
      </c>
      <c r="P14" s="35">
        <f t="shared" si="6"/>
        <v>64</v>
      </c>
      <c r="Q14" s="36"/>
      <c r="R14" s="14"/>
      <c r="S14" s="14"/>
      <c r="T14" s="14"/>
      <c r="U14" s="14"/>
      <c r="V14" s="14"/>
      <c r="W14" s="14"/>
      <c r="X14" s="14"/>
      <c r="Y14" s="14"/>
      <c r="Z14" s="14"/>
    </row>
    <row r="15" ht="12.75" customHeight="1">
      <c r="A15" s="26" t="s">
        <v>30</v>
      </c>
      <c r="B15" s="26" t="s">
        <v>31</v>
      </c>
      <c r="C15" s="26" t="s">
        <v>20</v>
      </c>
      <c r="D15" s="27">
        <v>1042.0</v>
      </c>
      <c r="E15" s="28">
        <v>9.8427045E8</v>
      </c>
      <c r="F15" s="27">
        <v>0.0</v>
      </c>
      <c r="G15" s="28">
        <v>0.0</v>
      </c>
      <c r="H15" s="27">
        <v>1042.0</v>
      </c>
      <c r="I15" s="28">
        <v>9.8427045E8</v>
      </c>
      <c r="J15" s="29">
        <f t="shared" si="2"/>
        <v>944597.3608</v>
      </c>
      <c r="K15" s="30">
        <f t="shared" ref="K15:L15" si="13">H15/12</f>
        <v>86.83333333</v>
      </c>
      <c r="L15" s="31">
        <f t="shared" si="13"/>
        <v>82022537.5</v>
      </c>
      <c r="M15" s="32">
        <v>23.0</v>
      </c>
      <c r="N15" s="33">
        <f t="shared" si="4"/>
        <v>260.5</v>
      </c>
      <c r="O15" s="34">
        <f t="shared" si="5"/>
        <v>237.5</v>
      </c>
      <c r="P15" s="35">
        <f t="shared" si="6"/>
        <v>237.5</v>
      </c>
      <c r="Q15" s="36"/>
      <c r="R15" s="14"/>
      <c r="S15" s="14"/>
      <c r="T15" s="14"/>
      <c r="U15" s="14"/>
      <c r="V15" s="14"/>
      <c r="W15" s="14"/>
      <c r="X15" s="14"/>
      <c r="Y15" s="14"/>
      <c r="Z15" s="14"/>
    </row>
    <row r="16" ht="12.75" customHeight="1">
      <c r="A16" s="26" t="s">
        <v>32</v>
      </c>
      <c r="B16" s="26" t="s">
        <v>31</v>
      </c>
      <c r="C16" s="26" t="s">
        <v>20</v>
      </c>
      <c r="D16" s="27">
        <v>647.0</v>
      </c>
      <c r="E16" s="28">
        <v>9.624964E8</v>
      </c>
      <c r="F16" s="27">
        <v>0.0</v>
      </c>
      <c r="G16" s="28">
        <v>0.0</v>
      </c>
      <c r="H16" s="27">
        <v>647.0</v>
      </c>
      <c r="I16" s="28">
        <v>9.624964E8</v>
      </c>
      <c r="J16" s="29">
        <f t="shared" si="2"/>
        <v>1487629.675</v>
      </c>
      <c r="K16" s="30">
        <f t="shared" ref="K16:L16" si="14">H16/12</f>
        <v>53.91666667</v>
      </c>
      <c r="L16" s="31">
        <f t="shared" si="14"/>
        <v>80208033.33</v>
      </c>
      <c r="M16" s="37">
        <v>120.0</v>
      </c>
      <c r="N16" s="33">
        <f t="shared" si="4"/>
        <v>161.75</v>
      </c>
      <c r="O16" s="34">
        <f t="shared" si="5"/>
        <v>41.75</v>
      </c>
      <c r="P16" s="35">
        <f t="shared" si="6"/>
        <v>41.75</v>
      </c>
      <c r="Q16" s="36"/>
      <c r="R16" s="14"/>
      <c r="S16" s="14"/>
      <c r="T16" s="14"/>
      <c r="U16" s="14"/>
      <c r="V16" s="14"/>
      <c r="W16" s="14"/>
      <c r="X16" s="14"/>
      <c r="Y16" s="14"/>
      <c r="Z16" s="14"/>
    </row>
    <row r="17" ht="12.75" customHeight="1">
      <c r="A17" s="38" t="s">
        <v>33</v>
      </c>
      <c r="B17" s="38" t="s">
        <v>31</v>
      </c>
      <c r="C17" s="38" t="s">
        <v>20</v>
      </c>
      <c r="D17" s="39">
        <v>700.0</v>
      </c>
      <c r="E17" s="39">
        <v>9.585835E8</v>
      </c>
      <c r="F17" s="39">
        <v>0.0</v>
      </c>
      <c r="G17" s="39">
        <v>0.0</v>
      </c>
      <c r="H17" s="39">
        <v>700.0</v>
      </c>
      <c r="I17" s="39">
        <v>9.585835E8</v>
      </c>
      <c r="J17" s="40">
        <f t="shared" si="2"/>
        <v>1369405</v>
      </c>
      <c r="K17" s="30">
        <f t="shared" ref="K17:L17" si="15">H17/12</f>
        <v>58.33333333</v>
      </c>
      <c r="L17" s="31">
        <f t="shared" si="15"/>
        <v>79881958.33</v>
      </c>
      <c r="M17" s="41">
        <v>462.0</v>
      </c>
      <c r="N17" s="33">
        <f t="shared" si="4"/>
        <v>175</v>
      </c>
      <c r="O17" s="42">
        <f t="shared" si="5"/>
        <v>-287</v>
      </c>
      <c r="P17" s="43" t="str">
        <f t="shared" si="6"/>
        <v/>
      </c>
      <c r="Q17" s="44"/>
      <c r="R17" s="45"/>
      <c r="S17" s="45"/>
      <c r="T17" s="45"/>
      <c r="U17" s="45"/>
      <c r="V17" s="45"/>
      <c r="W17" s="45"/>
      <c r="X17" s="45"/>
      <c r="Y17" s="45"/>
      <c r="Z17" s="45"/>
    </row>
    <row r="18" ht="12.75" customHeight="1">
      <c r="A18" s="26" t="s">
        <v>34</v>
      </c>
      <c r="B18" s="26" t="s">
        <v>35</v>
      </c>
      <c r="C18" s="26" t="s">
        <v>36</v>
      </c>
      <c r="D18" s="27">
        <v>7916.0</v>
      </c>
      <c r="E18" s="28">
        <v>9.236943E8</v>
      </c>
      <c r="F18" s="27">
        <v>0.0</v>
      </c>
      <c r="G18" s="28">
        <v>0.0</v>
      </c>
      <c r="H18" s="27">
        <v>7916.0</v>
      </c>
      <c r="I18" s="28">
        <v>9.236943E8</v>
      </c>
      <c r="J18" s="29">
        <f t="shared" si="2"/>
        <v>116687.001</v>
      </c>
      <c r="K18" s="30">
        <f t="shared" ref="K18:L18" si="16">H18/12</f>
        <v>659.6666667</v>
      </c>
      <c r="L18" s="31">
        <f t="shared" si="16"/>
        <v>76974525</v>
      </c>
      <c r="M18" s="37">
        <v>2066.0</v>
      </c>
      <c r="N18" s="33">
        <f t="shared" si="4"/>
        <v>1979</v>
      </c>
      <c r="O18" s="34">
        <f t="shared" si="5"/>
        <v>-87</v>
      </c>
      <c r="P18" s="35" t="str">
        <f t="shared" si="6"/>
        <v/>
      </c>
      <c r="Q18" s="36"/>
      <c r="R18" s="14"/>
      <c r="S18" s="14"/>
      <c r="T18" s="14"/>
      <c r="U18" s="14"/>
      <c r="V18" s="14"/>
      <c r="W18" s="14"/>
      <c r="X18" s="14"/>
      <c r="Y18" s="14"/>
      <c r="Z18" s="14"/>
    </row>
    <row r="19" ht="12.75" customHeight="1">
      <c r="A19" s="26" t="s">
        <v>37</v>
      </c>
      <c r="B19" s="26" t="s">
        <v>31</v>
      </c>
      <c r="C19" s="26" t="s">
        <v>20</v>
      </c>
      <c r="D19" s="27">
        <v>974.0</v>
      </c>
      <c r="E19" s="28">
        <v>8.452996E8</v>
      </c>
      <c r="F19" s="27">
        <v>0.0</v>
      </c>
      <c r="G19" s="28">
        <v>0.0</v>
      </c>
      <c r="H19" s="27">
        <v>974.0</v>
      </c>
      <c r="I19" s="28">
        <v>8.452996E8</v>
      </c>
      <c r="J19" s="29">
        <f t="shared" si="2"/>
        <v>867864.0657</v>
      </c>
      <c r="K19" s="30">
        <f t="shared" ref="K19:L19" si="17">H19/12</f>
        <v>81.16666667</v>
      </c>
      <c r="L19" s="31">
        <f t="shared" si="17"/>
        <v>70441633.33</v>
      </c>
      <c r="M19" s="37">
        <v>300.0</v>
      </c>
      <c r="N19" s="33">
        <f t="shared" si="4"/>
        <v>243.5</v>
      </c>
      <c r="O19" s="34">
        <f t="shared" si="5"/>
        <v>-56.5</v>
      </c>
      <c r="P19" s="35" t="str">
        <f t="shared" si="6"/>
        <v/>
      </c>
      <c r="Q19" s="36"/>
      <c r="R19" s="14"/>
      <c r="S19" s="14"/>
      <c r="T19" s="14"/>
      <c r="U19" s="14"/>
      <c r="V19" s="14"/>
      <c r="W19" s="14"/>
      <c r="X19" s="14"/>
      <c r="Y19" s="14"/>
      <c r="Z19" s="14"/>
    </row>
    <row r="20" ht="12.75" customHeight="1">
      <c r="A20" s="26" t="s">
        <v>38</v>
      </c>
      <c r="B20" s="26" t="s">
        <v>19</v>
      </c>
      <c r="C20" s="26" t="s">
        <v>20</v>
      </c>
      <c r="D20" s="27">
        <v>1101.0</v>
      </c>
      <c r="E20" s="28">
        <v>8.21682E8</v>
      </c>
      <c r="F20" s="27">
        <v>0.0</v>
      </c>
      <c r="G20" s="28">
        <v>0.0</v>
      </c>
      <c r="H20" s="27">
        <v>1101.0</v>
      </c>
      <c r="I20" s="28">
        <v>8.21682E8</v>
      </c>
      <c r="J20" s="29">
        <f t="shared" si="2"/>
        <v>746305.1771</v>
      </c>
      <c r="K20" s="30">
        <f t="shared" ref="K20:L20" si="18">H20/12</f>
        <v>91.75</v>
      </c>
      <c r="L20" s="31">
        <f t="shared" si="18"/>
        <v>68473500</v>
      </c>
      <c r="M20" s="32">
        <v>380.0</v>
      </c>
      <c r="N20" s="33">
        <f t="shared" si="4"/>
        <v>275.25</v>
      </c>
      <c r="O20" s="34">
        <f t="shared" si="5"/>
        <v>-104.75</v>
      </c>
      <c r="P20" s="35" t="str">
        <f t="shared" si="6"/>
        <v/>
      </c>
      <c r="Q20" s="36"/>
      <c r="R20" s="14"/>
      <c r="S20" s="14"/>
      <c r="T20" s="14"/>
      <c r="U20" s="14"/>
      <c r="V20" s="14"/>
      <c r="W20" s="14"/>
      <c r="X20" s="14"/>
      <c r="Y20" s="14"/>
      <c r="Z20" s="14"/>
    </row>
    <row r="21" ht="12.75" customHeight="1">
      <c r="A21" s="26" t="s">
        <v>39</v>
      </c>
      <c r="B21" s="26" t="s">
        <v>25</v>
      </c>
      <c r="C21" s="26" t="s">
        <v>20</v>
      </c>
      <c r="D21" s="27">
        <v>1128.0</v>
      </c>
      <c r="E21" s="28">
        <v>7.475249E8</v>
      </c>
      <c r="F21" s="27">
        <v>0.0</v>
      </c>
      <c r="G21" s="28">
        <v>0.0</v>
      </c>
      <c r="H21" s="27">
        <v>1128.0</v>
      </c>
      <c r="I21" s="28">
        <v>7.475249E8</v>
      </c>
      <c r="J21" s="29">
        <f t="shared" si="2"/>
        <v>662699.3794</v>
      </c>
      <c r="K21" s="30">
        <f t="shared" ref="K21:L21" si="19">H21/12</f>
        <v>94</v>
      </c>
      <c r="L21" s="31">
        <f t="shared" si="19"/>
        <v>62293741.67</v>
      </c>
      <c r="M21" s="32">
        <v>66.0</v>
      </c>
      <c r="N21" s="33">
        <f t="shared" si="4"/>
        <v>282</v>
      </c>
      <c r="O21" s="34">
        <f t="shared" si="5"/>
        <v>216</v>
      </c>
      <c r="P21" s="35">
        <f t="shared" si="6"/>
        <v>216</v>
      </c>
      <c r="Q21" s="36"/>
      <c r="R21" s="14"/>
      <c r="S21" s="14"/>
      <c r="T21" s="14"/>
      <c r="U21" s="14"/>
      <c r="V21" s="14"/>
      <c r="W21" s="14"/>
      <c r="X21" s="14"/>
      <c r="Y21" s="14"/>
      <c r="Z21" s="14"/>
    </row>
    <row r="22" ht="12.75" customHeight="1">
      <c r="A22" s="26" t="s">
        <v>40</v>
      </c>
      <c r="B22" s="26" t="s">
        <v>19</v>
      </c>
      <c r="C22" s="26" t="s">
        <v>20</v>
      </c>
      <c r="D22" s="27">
        <v>970.0</v>
      </c>
      <c r="E22" s="28">
        <v>7.393908E8</v>
      </c>
      <c r="F22" s="27">
        <v>0.0</v>
      </c>
      <c r="G22" s="28">
        <v>0.0</v>
      </c>
      <c r="H22" s="27">
        <v>970.0</v>
      </c>
      <c r="I22" s="28">
        <v>7.393908E8</v>
      </c>
      <c r="J22" s="29">
        <f t="shared" si="2"/>
        <v>762258.5567</v>
      </c>
      <c r="K22" s="30">
        <f t="shared" ref="K22:L22" si="20">H22/12</f>
        <v>80.83333333</v>
      </c>
      <c r="L22" s="31">
        <f t="shared" si="20"/>
        <v>61615900</v>
      </c>
      <c r="M22" s="32">
        <v>0.0</v>
      </c>
      <c r="N22" s="33">
        <f t="shared" si="4"/>
        <v>242.5</v>
      </c>
      <c r="O22" s="34">
        <f t="shared" si="5"/>
        <v>242.5</v>
      </c>
      <c r="P22" s="35">
        <f t="shared" si="6"/>
        <v>242.5</v>
      </c>
      <c r="Q22" s="36"/>
      <c r="R22" s="14"/>
      <c r="S22" s="14"/>
      <c r="T22" s="14"/>
      <c r="U22" s="14"/>
      <c r="V22" s="14"/>
      <c r="W22" s="14"/>
      <c r="X22" s="14"/>
      <c r="Y22" s="14"/>
      <c r="Z22" s="14"/>
    </row>
    <row r="23" ht="12.75" customHeight="1">
      <c r="A23" s="26" t="s">
        <v>41</v>
      </c>
      <c r="B23" s="26" t="s">
        <v>25</v>
      </c>
      <c r="C23" s="26" t="s">
        <v>20</v>
      </c>
      <c r="D23" s="27">
        <v>1009.0</v>
      </c>
      <c r="E23" s="28">
        <v>7.304761E8</v>
      </c>
      <c r="F23" s="27">
        <v>0.0</v>
      </c>
      <c r="G23" s="28">
        <v>0.0</v>
      </c>
      <c r="H23" s="27">
        <v>1009.0</v>
      </c>
      <c r="I23" s="28">
        <v>7.304761E8</v>
      </c>
      <c r="J23" s="29">
        <f t="shared" si="2"/>
        <v>723960.4559</v>
      </c>
      <c r="K23" s="30">
        <f t="shared" ref="K23:L23" si="21">H23/12</f>
        <v>84.08333333</v>
      </c>
      <c r="L23" s="31">
        <f t="shared" si="21"/>
        <v>60873008.33</v>
      </c>
      <c r="M23" s="37">
        <v>0.0</v>
      </c>
      <c r="N23" s="33">
        <f t="shared" si="4"/>
        <v>252.25</v>
      </c>
      <c r="O23" s="34">
        <f t="shared" si="5"/>
        <v>252.25</v>
      </c>
      <c r="P23" s="35">
        <f t="shared" si="6"/>
        <v>252.25</v>
      </c>
      <c r="Q23" s="36"/>
      <c r="R23" s="14"/>
      <c r="S23" s="14"/>
      <c r="T23" s="14"/>
      <c r="U23" s="14"/>
      <c r="V23" s="14"/>
      <c r="W23" s="14"/>
      <c r="X23" s="14"/>
      <c r="Y23" s="14"/>
      <c r="Z23" s="14"/>
    </row>
    <row r="24" ht="12.75" customHeight="1">
      <c r="A24" s="26" t="s">
        <v>42</v>
      </c>
      <c r="B24" s="26" t="s">
        <v>31</v>
      </c>
      <c r="C24" s="26" t="s">
        <v>20</v>
      </c>
      <c r="D24" s="27">
        <v>503.0</v>
      </c>
      <c r="E24" s="28">
        <v>7.222885E8</v>
      </c>
      <c r="F24" s="27">
        <v>0.0</v>
      </c>
      <c r="G24" s="28">
        <v>0.0</v>
      </c>
      <c r="H24" s="27">
        <v>503.0</v>
      </c>
      <c r="I24" s="28">
        <v>7.222885E8</v>
      </c>
      <c r="J24" s="29">
        <f t="shared" si="2"/>
        <v>1435961.233</v>
      </c>
      <c r="K24" s="30">
        <f t="shared" ref="K24:L24" si="22">H24/12</f>
        <v>41.91666667</v>
      </c>
      <c r="L24" s="31">
        <f t="shared" si="22"/>
        <v>60190708.33</v>
      </c>
      <c r="M24" s="32">
        <v>0.0</v>
      </c>
      <c r="N24" s="33">
        <f t="shared" si="4"/>
        <v>125.75</v>
      </c>
      <c r="O24" s="34">
        <f t="shared" si="5"/>
        <v>125.75</v>
      </c>
      <c r="P24" s="35">
        <f t="shared" si="6"/>
        <v>125.75</v>
      </c>
      <c r="Q24" s="36"/>
      <c r="R24" s="14"/>
      <c r="S24" s="14"/>
      <c r="T24" s="14"/>
      <c r="U24" s="14"/>
      <c r="V24" s="14"/>
      <c r="W24" s="14"/>
      <c r="X24" s="14"/>
      <c r="Y24" s="14"/>
      <c r="Z24" s="14"/>
    </row>
    <row r="25" ht="12.75" customHeight="1">
      <c r="A25" s="26" t="s">
        <v>43</v>
      </c>
      <c r="B25" s="26" t="s">
        <v>22</v>
      </c>
      <c r="C25" s="26" t="s">
        <v>20</v>
      </c>
      <c r="D25" s="27">
        <v>484.0</v>
      </c>
      <c r="E25" s="28">
        <v>7.117088E8</v>
      </c>
      <c r="F25" s="27">
        <v>0.0</v>
      </c>
      <c r="G25" s="28">
        <v>0.0</v>
      </c>
      <c r="H25" s="27">
        <v>484.0</v>
      </c>
      <c r="I25" s="28">
        <v>7.117088E8</v>
      </c>
      <c r="J25" s="29">
        <f t="shared" si="2"/>
        <v>1470472.727</v>
      </c>
      <c r="K25" s="30">
        <f t="shared" ref="K25:L25" si="23">H25/12</f>
        <v>40.33333333</v>
      </c>
      <c r="L25" s="31">
        <f t="shared" si="23"/>
        <v>59309066.67</v>
      </c>
      <c r="M25" s="37">
        <v>0.0</v>
      </c>
      <c r="N25" s="33">
        <f t="shared" si="4"/>
        <v>121</v>
      </c>
      <c r="O25" s="34">
        <f t="shared" si="5"/>
        <v>121</v>
      </c>
      <c r="P25" s="35">
        <f t="shared" si="6"/>
        <v>121</v>
      </c>
      <c r="Q25" s="36"/>
      <c r="R25" s="14"/>
      <c r="S25" s="14"/>
      <c r="T25" s="14"/>
      <c r="U25" s="14"/>
      <c r="V25" s="14"/>
      <c r="W25" s="14"/>
      <c r="X25" s="14"/>
      <c r="Y25" s="14"/>
      <c r="Z25" s="14"/>
    </row>
    <row r="26" ht="12.75" customHeight="1">
      <c r="A26" s="26" t="s">
        <v>44</v>
      </c>
      <c r="B26" s="26" t="s">
        <v>31</v>
      </c>
      <c r="C26" s="26" t="s">
        <v>20</v>
      </c>
      <c r="D26" s="27">
        <v>510.0</v>
      </c>
      <c r="E26" s="28">
        <v>7.03647E8</v>
      </c>
      <c r="F26" s="27">
        <v>0.0</v>
      </c>
      <c r="G26" s="28">
        <v>0.0</v>
      </c>
      <c r="H26" s="27">
        <v>510.0</v>
      </c>
      <c r="I26" s="28">
        <v>7.03647E8</v>
      </c>
      <c r="J26" s="29">
        <f t="shared" si="2"/>
        <v>1379700</v>
      </c>
      <c r="K26" s="30">
        <f t="shared" ref="K26:L26" si="24">H26/12</f>
        <v>42.5</v>
      </c>
      <c r="L26" s="31">
        <f t="shared" si="24"/>
        <v>58637250</v>
      </c>
      <c r="M26" s="32">
        <v>260.0</v>
      </c>
      <c r="N26" s="33">
        <f t="shared" si="4"/>
        <v>127.5</v>
      </c>
      <c r="O26" s="34">
        <f t="shared" si="5"/>
        <v>-132.5</v>
      </c>
      <c r="P26" s="35" t="str">
        <f t="shared" si="6"/>
        <v/>
      </c>
      <c r="Q26" s="36"/>
      <c r="R26" s="14"/>
      <c r="S26" s="14"/>
      <c r="T26" s="14"/>
      <c r="U26" s="14"/>
      <c r="V26" s="14"/>
      <c r="W26" s="14"/>
      <c r="X26" s="14"/>
      <c r="Y26" s="14"/>
      <c r="Z26" s="14"/>
    </row>
    <row r="27" ht="12.75" customHeight="1">
      <c r="A27" s="26" t="s">
        <v>45</v>
      </c>
      <c r="B27" s="26" t="s">
        <v>46</v>
      </c>
      <c r="C27" s="26" t="s">
        <v>20</v>
      </c>
      <c r="D27" s="27">
        <v>258.0</v>
      </c>
      <c r="E27" s="28">
        <v>6.453027E8</v>
      </c>
      <c r="F27" s="27">
        <v>0.0</v>
      </c>
      <c r="G27" s="28">
        <v>0.0</v>
      </c>
      <c r="H27" s="27">
        <v>258.0</v>
      </c>
      <c r="I27" s="28">
        <v>6.453027E8</v>
      </c>
      <c r="J27" s="29">
        <f t="shared" si="2"/>
        <v>2501173.256</v>
      </c>
      <c r="K27" s="30">
        <f t="shared" ref="K27:L27" si="25">H27/12</f>
        <v>21.5</v>
      </c>
      <c r="L27" s="31">
        <f t="shared" si="25"/>
        <v>53775225</v>
      </c>
      <c r="M27" s="32">
        <v>176.0</v>
      </c>
      <c r="N27" s="33">
        <f t="shared" si="4"/>
        <v>64.5</v>
      </c>
      <c r="O27" s="34">
        <f t="shared" si="5"/>
        <v>-111.5</v>
      </c>
      <c r="P27" s="35" t="str">
        <f t="shared" si="6"/>
        <v/>
      </c>
      <c r="Q27" s="36"/>
      <c r="R27" s="14"/>
      <c r="S27" s="14"/>
      <c r="T27" s="14"/>
      <c r="U27" s="14"/>
      <c r="V27" s="14"/>
      <c r="W27" s="14"/>
      <c r="X27" s="14"/>
      <c r="Y27" s="14"/>
      <c r="Z27" s="14"/>
    </row>
    <row r="28" ht="12.75" customHeight="1">
      <c r="A28" s="26" t="s">
        <v>47</v>
      </c>
      <c r="B28" s="26" t="s">
        <v>48</v>
      </c>
      <c r="C28" s="26" t="s">
        <v>20</v>
      </c>
      <c r="D28" s="27">
        <v>293.0</v>
      </c>
      <c r="E28" s="28">
        <v>6.429755E8</v>
      </c>
      <c r="F28" s="27">
        <v>0.0</v>
      </c>
      <c r="G28" s="28">
        <v>0.0</v>
      </c>
      <c r="H28" s="27">
        <v>293.0</v>
      </c>
      <c r="I28" s="28">
        <v>6.429755E8</v>
      </c>
      <c r="J28" s="29">
        <f t="shared" si="2"/>
        <v>2194455.631</v>
      </c>
      <c r="K28" s="30">
        <f t="shared" ref="K28:L28" si="26">H28/12</f>
        <v>24.41666667</v>
      </c>
      <c r="L28" s="31">
        <f t="shared" si="26"/>
        <v>53581291.67</v>
      </c>
      <c r="M28" s="37">
        <v>0.0</v>
      </c>
      <c r="N28" s="33">
        <f t="shared" si="4"/>
        <v>73.25</v>
      </c>
      <c r="O28" s="34">
        <f t="shared" si="5"/>
        <v>73.25</v>
      </c>
      <c r="P28" s="35">
        <f t="shared" si="6"/>
        <v>73.25</v>
      </c>
      <c r="Q28" s="36"/>
      <c r="R28" s="14"/>
      <c r="S28" s="14"/>
      <c r="T28" s="14"/>
      <c r="U28" s="14"/>
      <c r="V28" s="14"/>
      <c r="W28" s="14"/>
      <c r="X28" s="14"/>
      <c r="Y28" s="14"/>
      <c r="Z28" s="14"/>
    </row>
    <row r="29" ht="12.75" customHeight="1">
      <c r="A29" s="26" t="s">
        <v>49</v>
      </c>
      <c r="B29" s="26" t="s">
        <v>31</v>
      </c>
      <c r="C29" s="26" t="s">
        <v>20</v>
      </c>
      <c r="D29" s="27">
        <v>699.0</v>
      </c>
      <c r="E29" s="28">
        <v>6.107346E8</v>
      </c>
      <c r="F29" s="27">
        <v>0.0</v>
      </c>
      <c r="G29" s="28">
        <v>0.0</v>
      </c>
      <c r="H29" s="27">
        <v>699.0</v>
      </c>
      <c r="I29" s="28">
        <v>6.107346E8</v>
      </c>
      <c r="J29" s="29">
        <f t="shared" si="2"/>
        <v>873726.1803</v>
      </c>
      <c r="K29" s="30">
        <f t="shared" ref="K29:L29" si="27">H29/12</f>
        <v>58.25</v>
      </c>
      <c r="L29" s="31">
        <f t="shared" si="27"/>
        <v>50894550</v>
      </c>
      <c r="M29" s="32">
        <v>0.0</v>
      </c>
      <c r="N29" s="33">
        <f t="shared" si="4"/>
        <v>174.75</v>
      </c>
      <c r="O29" s="34">
        <f t="shared" si="5"/>
        <v>174.75</v>
      </c>
      <c r="P29" s="35">
        <f t="shared" si="6"/>
        <v>174.75</v>
      </c>
      <c r="Q29" s="36"/>
      <c r="R29" s="14"/>
      <c r="S29" s="14"/>
      <c r="T29" s="14"/>
      <c r="U29" s="14"/>
      <c r="V29" s="14"/>
      <c r="W29" s="14"/>
      <c r="X29" s="14"/>
      <c r="Y29" s="14"/>
      <c r="Z29" s="14"/>
    </row>
    <row r="30" ht="12.75" customHeight="1">
      <c r="A30" s="26" t="s">
        <v>50</v>
      </c>
      <c r="B30" s="26" t="s">
        <v>31</v>
      </c>
      <c r="C30" s="26" t="s">
        <v>20</v>
      </c>
      <c r="D30" s="27">
        <v>479.0</v>
      </c>
      <c r="E30" s="28">
        <v>6.097654E8</v>
      </c>
      <c r="F30" s="27">
        <v>0.0</v>
      </c>
      <c r="G30" s="28">
        <v>0.0</v>
      </c>
      <c r="H30" s="27">
        <v>479.0</v>
      </c>
      <c r="I30" s="28">
        <v>6.097654E8</v>
      </c>
      <c r="J30" s="29">
        <f t="shared" si="2"/>
        <v>1272996.66</v>
      </c>
      <c r="K30" s="30">
        <f t="shared" ref="K30:L30" si="28">H30/12</f>
        <v>39.91666667</v>
      </c>
      <c r="L30" s="31">
        <f t="shared" si="28"/>
        <v>50813783.33</v>
      </c>
      <c r="M30" s="32">
        <v>0.0</v>
      </c>
      <c r="N30" s="33">
        <f t="shared" si="4"/>
        <v>119.75</v>
      </c>
      <c r="O30" s="34">
        <f t="shared" si="5"/>
        <v>119.75</v>
      </c>
      <c r="P30" s="35">
        <f t="shared" si="6"/>
        <v>119.75</v>
      </c>
      <c r="Q30" s="36"/>
      <c r="R30" s="14"/>
      <c r="S30" s="14"/>
      <c r="T30" s="14"/>
      <c r="U30" s="14"/>
      <c r="V30" s="14"/>
      <c r="W30" s="14"/>
      <c r="X30" s="14"/>
      <c r="Y30" s="14"/>
      <c r="Z30" s="14"/>
    </row>
    <row r="31" ht="12.75" customHeight="1">
      <c r="A31" s="26" t="s">
        <v>51</v>
      </c>
      <c r="B31" s="26" t="s">
        <v>48</v>
      </c>
      <c r="C31" s="26" t="s">
        <v>20</v>
      </c>
      <c r="D31" s="27">
        <v>365.0</v>
      </c>
      <c r="E31" s="28">
        <v>6.027653E8</v>
      </c>
      <c r="F31" s="27">
        <v>0.0</v>
      </c>
      <c r="G31" s="28">
        <v>0.0</v>
      </c>
      <c r="H31" s="27">
        <v>365.0</v>
      </c>
      <c r="I31" s="28">
        <v>6.027653E8</v>
      </c>
      <c r="J31" s="29">
        <f t="shared" si="2"/>
        <v>1651411.781</v>
      </c>
      <c r="K31" s="30">
        <f t="shared" ref="K31:L31" si="29">H31/12</f>
        <v>30.41666667</v>
      </c>
      <c r="L31" s="31">
        <f t="shared" si="29"/>
        <v>50230441.67</v>
      </c>
      <c r="M31" s="32">
        <v>198.0</v>
      </c>
      <c r="N31" s="33">
        <f t="shared" si="4"/>
        <v>91.25</v>
      </c>
      <c r="O31" s="34">
        <f t="shared" si="5"/>
        <v>-106.75</v>
      </c>
      <c r="P31" s="35" t="str">
        <f t="shared" si="6"/>
        <v/>
      </c>
      <c r="Q31" s="36"/>
      <c r="R31" s="14"/>
      <c r="S31" s="14"/>
      <c r="T31" s="14"/>
      <c r="U31" s="14"/>
      <c r="V31" s="14"/>
      <c r="W31" s="14"/>
      <c r="X31" s="14"/>
      <c r="Y31" s="14"/>
      <c r="Z31" s="14"/>
    </row>
    <row r="32" ht="12.75" customHeight="1">
      <c r="A32" s="26" t="s">
        <v>52</v>
      </c>
      <c r="B32" s="26" t="s">
        <v>31</v>
      </c>
      <c r="C32" s="26" t="s">
        <v>20</v>
      </c>
      <c r="D32" s="27">
        <v>401.0</v>
      </c>
      <c r="E32" s="28">
        <v>5.98122E8</v>
      </c>
      <c r="F32" s="27">
        <v>0.0</v>
      </c>
      <c r="G32" s="28">
        <v>0.0</v>
      </c>
      <c r="H32" s="27">
        <v>401.0</v>
      </c>
      <c r="I32" s="28">
        <v>5.98122E8</v>
      </c>
      <c r="J32" s="29">
        <f t="shared" si="2"/>
        <v>1491576.06</v>
      </c>
      <c r="K32" s="30">
        <f t="shared" ref="K32:L32" si="30">H32/12</f>
        <v>33.41666667</v>
      </c>
      <c r="L32" s="31">
        <f t="shared" si="30"/>
        <v>49843500</v>
      </c>
      <c r="M32" s="37">
        <v>61.0</v>
      </c>
      <c r="N32" s="33">
        <f t="shared" si="4"/>
        <v>100.25</v>
      </c>
      <c r="O32" s="34">
        <f t="shared" si="5"/>
        <v>39.25</v>
      </c>
      <c r="P32" s="35">
        <f t="shared" si="6"/>
        <v>39.25</v>
      </c>
      <c r="Q32" s="36"/>
      <c r="R32" s="14"/>
      <c r="S32" s="14"/>
      <c r="T32" s="14"/>
      <c r="U32" s="14"/>
      <c r="V32" s="14"/>
      <c r="W32" s="14"/>
      <c r="X32" s="14"/>
      <c r="Y32" s="14"/>
      <c r="Z32" s="14"/>
    </row>
    <row r="33" ht="12.75" customHeight="1">
      <c r="A33" s="26" t="s">
        <v>53</v>
      </c>
      <c r="B33" s="26" t="s">
        <v>22</v>
      </c>
      <c r="C33" s="26" t="s">
        <v>20</v>
      </c>
      <c r="D33" s="27">
        <v>300.0</v>
      </c>
      <c r="E33" s="28">
        <v>5.95458E8</v>
      </c>
      <c r="F33" s="27">
        <v>0.0</v>
      </c>
      <c r="G33" s="28">
        <v>0.0</v>
      </c>
      <c r="H33" s="27">
        <v>300.0</v>
      </c>
      <c r="I33" s="28">
        <v>5.95458E8</v>
      </c>
      <c r="J33" s="29">
        <f t="shared" si="2"/>
        <v>1984860</v>
      </c>
      <c r="K33" s="30">
        <f t="shared" ref="K33:L33" si="31">H33/12</f>
        <v>25</v>
      </c>
      <c r="L33" s="31">
        <f t="shared" si="31"/>
        <v>49621500</v>
      </c>
      <c r="M33" s="37">
        <v>17.0</v>
      </c>
      <c r="N33" s="33">
        <f t="shared" si="4"/>
        <v>75</v>
      </c>
      <c r="O33" s="34">
        <f t="shared" si="5"/>
        <v>58</v>
      </c>
      <c r="P33" s="35">
        <f t="shared" si="6"/>
        <v>58</v>
      </c>
      <c r="Q33" s="36"/>
      <c r="R33" s="14"/>
      <c r="S33" s="14"/>
      <c r="T33" s="14"/>
      <c r="U33" s="14"/>
      <c r="V33" s="14"/>
      <c r="W33" s="14"/>
      <c r="X33" s="14"/>
      <c r="Y33" s="14"/>
      <c r="Z33" s="14"/>
    </row>
    <row r="34" ht="12.75" customHeight="1">
      <c r="A34" s="26" t="s">
        <v>54</v>
      </c>
      <c r="B34" s="26" t="s">
        <v>35</v>
      </c>
      <c r="C34" s="26" t="s">
        <v>36</v>
      </c>
      <c r="D34" s="27">
        <v>5365.0</v>
      </c>
      <c r="E34" s="28">
        <v>5.92257386E8</v>
      </c>
      <c r="F34" s="27">
        <v>0.0</v>
      </c>
      <c r="G34" s="28">
        <v>0.0</v>
      </c>
      <c r="H34" s="27">
        <v>5365.0</v>
      </c>
      <c r="I34" s="28">
        <v>5.92257386E8</v>
      </c>
      <c r="J34" s="29">
        <f t="shared" si="2"/>
        <v>110392.8026</v>
      </c>
      <c r="K34" s="30">
        <f t="shared" ref="K34:L34" si="32">H34/12</f>
        <v>447.0833333</v>
      </c>
      <c r="L34" s="31">
        <f t="shared" si="32"/>
        <v>49354782.17</v>
      </c>
      <c r="M34" s="32">
        <v>4299.0</v>
      </c>
      <c r="N34" s="33">
        <f t="shared" si="4"/>
        <v>1341.25</v>
      </c>
      <c r="O34" s="34">
        <f t="shared" si="5"/>
        <v>-2957.75</v>
      </c>
      <c r="P34" s="35" t="str">
        <f t="shared" si="6"/>
        <v/>
      </c>
      <c r="Q34" s="36"/>
      <c r="R34" s="14"/>
      <c r="S34" s="14"/>
      <c r="T34" s="14"/>
      <c r="U34" s="14"/>
      <c r="V34" s="14"/>
      <c r="W34" s="14"/>
      <c r="X34" s="14"/>
      <c r="Y34" s="14"/>
      <c r="Z34" s="14"/>
    </row>
    <row r="35" ht="12.75" customHeight="1">
      <c r="A35" s="26" t="s">
        <v>55</v>
      </c>
      <c r="B35" s="26" t="s">
        <v>56</v>
      </c>
      <c r="C35" s="26" t="s">
        <v>20</v>
      </c>
      <c r="D35" s="27">
        <v>383.0</v>
      </c>
      <c r="E35" s="28">
        <v>5.411679E8</v>
      </c>
      <c r="F35" s="27">
        <v>0.0</v>
      </c>
      <c r="G35" s="28">
        <v>0.0</v>
      </c>
      <c r="H35" s="27">
        <v>383.0</v>
      </c>
      <c r="I35" s="28">
        <v>5.411679E8</v>
      </c>
      <c r="J35" s="29">
        <f t="shared" si="2"/>
        <v>1412971.018</v>
      </c>
      <c r="K35" s="30">
        <f t="shared" ref="K35:L35" si="33">H35/12</f>
        <v>31.91666667</v>
      </c>
      <c r="L35" s="31">
        <f t="shared" si="33"/>
        <v>45097325</v>
      </c>
      <c r="M35" s="32">
        <v>66.0</v>
      </c>
      <c r="N35" s="33">
        <f t="shared" si="4"/>
        <v>95.75</v>
      </c>
      <c r="O35" s="34">
        <f t="shared" si="5"/>
        <v>29.75</v>
      </c>
      <c r="P35" s="35">
        <f t="shared" si="6"/>
        <v>29.75</v>
      </c>
      <c r="Q35" s="36"/>
      <c r="R35" s="14"/>
      <c r="S35" s="14"/>
      <c r="T35" s="14"/>
      <c r="U35" s="14"/>
      <c r="V35" s="14"/>
      <c r="W35" s="14"/>
      <c r="X35" s="14"/>
      <c r="Y35" s="14"/>
      <c r="Z35" s="14"/>
    </row>
    <row r="36" ht="12.75" customHeight="1">
      <c r="A36" s="26" t="s">
        <v>57</v>
      </c>
      <c r="B36" s="26" t="s">
        <v>56</v>
      </c>
      <c r="C36" s="26" t="s">
        <v>20</v>
      </c>
      <c r="D36" s="27">
        <v>599.0</v>
      </c>
      <c r="E36" s="28">
        <v>5.2706625E8</v>
      </c>
      <c r="F36" s="27">
        <v>0.0</v>
      </c>
      <c r="G36" s="28">
        <v>0.0</v>
      </c>
      <c r="H36" s="27">
        <v>599.0</v>
      </c>
      <c r="I36" s="28">
        <v>5.2706625E8</v>
      </c>
      <c r="J36" s="29">
        <f t="shared" si="2"/>
        <v>879910.2671</v>
      </c>
      <c r="K36" s="30">
        <f t="shared" ref="K36:L36" si="34">H36/12</f>
        <v>49.91666667</v>
      </c>
      <c r="L36" s="31">
        <f t="shared" si="34"/>
        <v>43922187.5</v>
      </c>
      <c r="M36" s="37">
        <v>66.0</v>
      </c>
      <c r="N36" s="33">
        <f t="shared" si="4"/>
        <v>149.75</v>
      </c>
      <c r="O36" s="34">
        <f t="shared" si="5"/>
        <v>83.75</v>
      </c>
      <c r="P36" s="35">
        <f t="shared" si="6"/>
        <v>83.75</v>
      </c>
      <c r="Q36" s="36"/>
      <c r="R36" s="14"/>
      <c r="S36" s="14"/>
      <c r="T36" s="14"/>
      <c r="U36" s="14"/>
      <c r="V36" s="14"/>
      <c r="W36" s="14"/>
      <c r="X36" s="14"/>
      <c r="Y36" s="14"/>
      <c r="Z36" s="14"/>
    </row>
    <row r="37" ht="12.75" customHeight="1">
      <c r="A37" s="26" t="s">
        <v>58</v>
      </c>
      <c r="B37" s="26" t="s">
        <v>31</v>
      </c>
      <c r="C37" s="26" t="s">
        <v>20</v>
      </c>
      <c r="D37" s="27">
        <v>397.0</v>
      </c>
      <c r="E37" s="28">
        <v>5.256365E8</v>
      </c>
      <c r="F37" s="27">
        <v>0.0</v>
      </c>
      <c r="G37" s="28">
        <v>0.0</v>
      </c>
      <c r="H37" s="27">
        <v>397.0</v>
      </c>
      <c r="I37" s="28">
        <v>5.256365E8</v>
      </c>
      <c r="J37" s="29">
        <f t="shared" si="2"/>
        <v>1324021.411</v>
      </c>
      <c r="K37" s="30">
        <f t="shared" ref="K37:L37" si="35">H37/12</f>
        <v>33.08333333</v>
      </c>
      <c r="L37" s="31">
        <f t="shared" si="35"/>
        <v>43803041.67</v>
      </c>
      <c r="M37" s="37">
        <v>285.0</v>
      </c>
      <c r="N37" s="33">
        <f t="shared" si="4"/>
        <v>99.25</v>
      </c>
      <c r="O37" s="34">
        <f t="shared" si="5"/>
        <v>-185.75</v>
      </c>
      <c r="P37" s="35" t="str">
        <f t="shared" si="6"/>
        <v/>
      </c>
      <c r="Q37" s="36"/>
      <c r="R37" s="14"/>
      <c r="S37" s="14"/>
      <c r="T37" s="14"/>
      <c r="U37" s="14"/>
      <c r="V37" s="14"/>
      <c r="W37" s="14"/>
      <c r="X37" s="14"/>
      <c r="Y37" s="14"/>
      <c r="Z37" s="14"/>
    </row>
    <row r="38" ht="12.75" customHeight="1">
      <c r="A38" s="26" t="s">
        <v>59</v>
      </c>
      <c r="B38" s="26" t="s">
        <v>46</v>
      </c>
      <c r="C38" s="26" t="s">
        <v>20</v>
      </c>
      <c r="D38" s="27">
        <v>192.0</v>
      </c>
      <c r="E38" s="28">
        <v>5.070231E8</v>
      </c>
      <c r="F38" s="27">
        <v>0.0</v>
      </c>
      <c r="G38" s="28">
        <v>0.0</v>
      </c>
      <c r="H38" s="27">
        <v>192.0</v>
      </c>
      <c r="I38" s="28">
        <v>5.070231E8</v>
      </c>
      <c r="J38" s="29">
        <f t="shared" si="2"/>
        <v>2640745.313</v>
      </c>
      <c r="K38" s="30">
        <f t="shared" ref="K38:L38" si="36">H38/12</f>
        <v>16</v>
      </c>
      <c r="L38" s="31">
        <f t="shared" si="36"/>
        <v>42251925</v>
      </c>
      <c r="M38" s="32">
        <v>323.0</v>
      </c>
      <c r="N38" s="33">
        <f t="shared" si="4"/>
        <v>48</v>
      </c>
      <c r="O38" s="34">
        <f t="shared" si="5"/>
        <v>-275</v>
      </c>
      <c r="P38" s="35" t="str">
        <f t="shared" si="6"/>
        <v/>
      </c>
      <c r="Q38" s="36"/>
      <c r="R38" s="14"/>
      <c r="S38" s="14"/>
      <c r="T38" s="14"/>
      <c r="U38" s="14"/>
      <c r="V38" s="14"/>
      <c r="W38" s="14"/>
      <c r="X38" s="14"/>
      <c r="Y38" s="14"/>
      <c r="Z38" s="14"/>
    </row>
    <row r="39" ht="12.75" customHeight="1">
      <c r="A39" s="26" t="s">
        <v>60</v>
      </c>
      <c r="B39" s="26" t="s">
        <v>31</v>
      </c>
      <c r="C39" s="26" t="s">
        <v>20</v>
      </c>
      <c r="D39" s="27">
        <v>514.0</v>
      </c>
      <c r="E39" s="28">
        <v>4.984535E8</v>
      </c>
      <c r="F39" s="27">
        <v>0.0</v>
      </c>
      <c r="G39" s="28">
        <v>0.0</v>
      </c>
      <c r="H39" s="27">
        <v>514.0</v>
      </c>
      <c r="I39" s="28">
        <v>4.984535E8</v>
      </c>
      <c r="J39" s="29">
        <f t="shared" si="2"/>
        <v>969753.8911</v>
      </c>
      <c r="K39" s="30">
        <f t="shared" ref="K39:L39" si="37">H39/12</f>
        <v>42.83333333</v>
      </c>
      <c r="L39" s="31">
        <f t="shared" si="37"/>
        <v>41537791.67</v>
      </c>
      <c r="M39" s="32">
        <v>9.0</v>
      </c>
      <c r="N39" s="33">
        <f t="shared" si="4"/>
        <v>128.5</v>
      </c>
      <c r="O39" s="34">
        <f t="shared" si="5"/>
        <v>119.5</v>
      </c>
      <c r="P39" s="35">
        <f t="shared" si="6"/>
        <v>119.5</v>
      </c>
      <c r="Q39" s="36"/>
      <c r="R39" s="14"/>
      <c r="S39" s="14"/>
      <c r="T39" s="14"/>
      <c r="U39" s="14"/>
      <c r="V39" s="14"/>
      <c r="W39" s="14"/>
      <c r="X39" s="14"/>
      <c r="Y39" s="14"/>
      <c r="Z39" s="14"/>
    </row>
    <row r="40" ht="12.75" customHeight="1">
      <c r="A40" s="26" t="s">
        <v>61</v>
      </c>
      <c r="B40" s="26" t="s">
        <v>46</v>
      </c>
      <c r="C40" s="26" t="s">
        <v>20</v>
      </c>
      <c r="D40" s="27">
        <v>208.0</v>
      </c>
      <c r="E40" s="28">
        <v>4.9799365E8</v>
      </c>
      <c r="F40" s="27">
        <v>0.0</v>
      </c>
      <c r="G40" s="28">
        <v>0.0</v>
      </c>
      <c r="H40" s="27">
        <v>208.0</v>
      </c>
      <c r="I40" s="28">
        <v>4.9799365E8</v>
      </c>
      <c r="J40" s="29">
        <f t="shared" si="2"/>
        <v>2394200.24</v>
      </c>
      <c r="K40" s="30">
        <f t="shared" ref="K40:L40" si="38">H40/12</f>
        <v>17.33333333</v>
      </c>
      <c r="L40" s="31">
        <f t="shared" si="38"/>
        <v>41499470.83</v>
      </c>
      <c r="M40" s="37">
        <v>140.0</v>
      </c>
      <c r="N40" s="33">
        <f t="shared" si="4"/>
        <v>52</v>
      </c>
      <c r="O40" s="34">
        <f t="shared" si="5"/>
        <v>-88</v>
      </c>
      <c r="P40" s="35" t="str">
        <f t="shared" si="6"/>
        <v/>
      </c>
      <c r="Q40" s="36"/>
      <c r="R40" s="14"/>
      <c r="S40" s="14"/>
      <c r="T40" s="14"/>
      <c r="U40" s="14"/>
      <c r="V40" s="14"/>
      <c r="W40" s="14"/>
      <c r="X40" s="14"/>
      <c r="Y40" s="14"/>
      <c r="Z40" s="14"/>
    </row>
    <row r="41" ht="12.75" customHeight="1">
      <c r="A41" s="26" t="s">
        <v>62</v>
      </c>
      <c r="B41" s="26" t="s">
        <v>22</v>
      </c>
      <c r="C41" s="26" t="s">
        <v>20</v>
      </c>
      <c r="D41" s="27">
        <v>310.0</v>
      </c>
      <c r="E41" s="28">
        <v>4.7450925E8</v>
      </c>
      <c r="F41" s="27">
        <v>0.0</v>
      </c>
      <c r="G41" s="28">
        <v>0.0</v>
      </c>
      <c r="H41" s="27">
        <v>310.0</v>
      </c>
      <c r="I41" s="28">
        <v>4.7450925E8</v>
      </c>
      <c r="J41" s="29">
        <f t="shared" si="2"/>
        <v>1530675</v>
      </c>
      <c r="K41" s="30">
        <f t="shared" ref="K41:L41" si="39">H41/12</f>
        <v>25.83333333</v>
      </c>
      <c r="L41" s="31">
        <f t="shared" si="39"/>
        <v>39542437.5</v>
      </c>
      <c r="M41" s="32">
        <v>0.0</v>
      </c>
      <c r="N41" s="33">
        <f t="shared" si="4"/>
        <v>77.5</v>
      </c>
      <c r="O41" s="34">
        <f t="shared" si="5"/>
        <v>77.5</v>
      </c>
      <c r="P41" s="35">
        <f t="shared" si="6"/>
        <v>77.5</v>
      </c>
      <c r="Q41" s="36"/>
      <c r="R41" s="14"/>
      <c r="S41" s="14"/>
      <c r="T41" s="14"/>
      <c r="U41" s="14"/>
      <c r="V41" s="14"/>
      <c r="W41" s="14"/>
      <c r="X41" s="14"/>
      <c r="Y41" s="14"/>
      <c r="Z41" s="14"/>
    </row>
    <row r="42" ht="12.75" customHeight="1">
      <c r="A42" s="26" t="s">
        <v>63</v>
      </c>
      <c r="B42" s="26" t="s">
        <v>48</v>
      </c>
      <c r="C42" s="26" t="s">
        <v>20</v>
      </c>
      <c r="D42" s="27">
        <v>303.0</v>
      </c>
      <c r="E42" s="28">
        <v>4.617469E8</v>
      </c>
      <c r="F42" s="27">
        <v>0.0</v>
      </c>
      <c r="G42" s="28">
        <v>0.0</v>
      </c>
      <c r="H42" s="27">
        <v>303.0</v>
      </c>
      <c r="I42" s="28">
        <v>4.617469E8</v>
      </c>
      <c r="J42" s="29">
        <f t="shared" si="2"/>
        <v>1523917.162</v>
      </c>
      <c r="K42" s="30">
        <f t="shared" ref="K42:L42" si="40">H42/12</f>
        <v>25.25</v>
      </c>
      <c r="L42" s="31">
        <f t="shared" si="40"/>
        <v>38478908.33</v>
      </c>
      <c r="M42" s="32">
        <v>0.0</v>
      </c>
      <c r="N42" s="33">
        <f t="shared" si="4"/>
        <v>75.75</v>
      </c>
      <c r="O42" s="34">
        <f t="shared" si="5"/>
        <v>75.75</v>
      </c>
      <c r="P42" s="35">
        <f t="shared" si="6"/>
        <v>75.75</v>
      </c>
      <c r="Q42" s="36"/>
      <c r="R42" s="14"/>
      <c r="S42" s="14"/>
      <c r="T42" s="14"/>
      <c r="U42" s="14"/>
      <c r="V42" s="14"/>
      <c r="W42" s="14"/>
      <c r="X42" s="14"/>
      <c r="Y42" s="14"/>
      <c r="Z42" s="14"/>
    </row>
    <row r="43" ht="12.75" customHeight="1">
      <c r="A43" s="26" t="s">
        <v>64</v>
      </c>
      <c r="B43" s="26" t="s">
        <v>25</v>
      </c>
      <c r="C43" s="26" t="s">
        <v>20</v>
      </c>
      <c r="D43" s="27">
        <v>682.0</v>
      </c>
      <c r="E43" s="28">
        <v>4.480876E8</v>
      </c>
      <c r="F43" s="27">
        <v>0.0</v>
      </c>
      <c r="G43" s="28">
        <v>0.0</v>
      </c>
      <c r="H43" s="27">
        <v>682.0</v>
      </c>
      <c r="I43" s="28">
        <v>4.480876E8</v>
      </c>
      <c r="J43" s="29">
        <f t="shared" si="2"/>
        <v>657019.9413</v>
      </c>
      <c r="K43" s="30">
        <f t="shared" ref="K43:L43" si="41">H43/12</f>
        <v>56.83333333</v>
      </c>
      <c r="L43" s="31">
        <f t="shared" si="41"/>
        <v>37340633.33</v>
      </c>
      <c r="M43" s="32">
        <v>2.0</v>
      </c>
      <c r="N43" s="33">
        <f t="shared" si="4"/>
        <v>170.5</v>
      </c>
      <c r="O43" s="34">
        <f t="shared" si="5"/>
        <v>168.5</v>
      </c>
      <c r="P43" s="35">
        <f t="shared" si="6"/>
        <v>168.5</v>
      </c>
      <c r="Q43" s="36"/>
      <c r="R43" s="14"/>
      <c r="S43" s="14"/>
      <c r="T43" s="14"/>
      <c r="U43" s="14"/>
      <c r="V43" s="14"/>
      <c r="W43" s="14"/>
      <c r="X43" s="14"/>
      <c r="Y43" s="14"/>
      <c r="Z43" s="14"/>
    </row>
    <row r="44" ht="12.75" customHeight="1">
      <c r="A44" s="26" t="s">
        <v>65</v>
      </c>
      <c r="B44" s="26" t="s">
        <v>22</v>
      </c>
      <c r="C44" s="26" t="s">
        <v>20</v>
      </c>
      <c r="D44" s="27">
        <v>262.0</v>
      </c>
      <c r="E44" s="28">
        <v>4.418102E8</v>
      </c>
      <c r="F44" s="27">
        <v>0.0</v>
      </c>
      <c r="G44" s="28">
        <v>0.0</v>
      </c>
      <c r="H44" s="27">
        <v>262.0</v>
      </c>
      <c r="I44" s="28">
        <v>4.418102E8</v>
      </c>
      <c r="J44" s="29">
        <f t="shared" si="2"/>
        <v>1686298.473</v>
      </c>
      <c r="K44" s="30">
        <f t="shared" ref="K44:L44" si="42">H44/12</f>
        <v>21.83333333</v>
      </c>
      <c r="L44" s="31">
        <f t="shared" si="42"/>
        <v>36817516.67</v>
      </c>
      <c r="M44" s="37">
        <v>53.0</v>
      </c>
      <c r="N44" s="33">
        <f t="shared" si="4"/>
        <v>65.5</v>
      </c>
      <c r="O44" s="34">
        <f t="shared" si="5"/>
        <v>12.5</v>
      </c>
      <c r="P44" s="35">
        <f t="shared" si="6"/>
        <v>12.5</v>
      </c>
      <c r="Q44" s="36"/>
      <c r="R44" s="14"/>
      <c r="S44" s="14"/>
      <c r="T44" s="14"/>
      <c r="U44" s="14"/>
      <c r="V44" s="14"/>
      <c r="W44" s="14"/>
      <c r="X44" s="14"/>
      <c r="Y44" s="14"/>
      <c r="Z44" s="14"/>
    </row>
    <row r="45" ht="12.75" customHeight="1">
      <c r="A45" s="26" t="s">
        <v>66</v>
      </c>
      <c r="B45" s="26" t="s">
        <v>56</v>
      </c>
      <c r="C45" s="26" t="s">
        <v>20</v>
      </c>
      <c r="D45" s="27">
        <v>503.0</v>
      </c>
      <c r="E45" s="28">
        <v>4.294702E8</v>
      </c>
      <c r="F45" s="27">
        <v>0.0</v>
      </c>
      <c r="G45" s="28">
        <v>0.0</v>
      </c>
      <c r="H45" s="27">
        <v>503.0</v>
      </c>
      <c r="I45" s="28">
        <v>4.294702E8</v>
      </c>
      <c r="J45" s="29">
        <f t="shared" si="2"/>
        <v>853817.495</v>
      </c>
      <c r="K45" s="30">
        <f t="shared" ref="K45:L45" si="43">H45/12</f>
        <v>41.91666667</v>
      </c>
      <c r="L45" s="31">
        <f t="shared" si="43"/>
        <v>35789183.33</v>
      </c>
      <c r="M45" s="37">
        <v>0.0</v>
      </c>
      <c r="N45" s="33">
        <f t="shared" si="4"/>
        <v>125.75</v>
      </c>
      <c r="O45" s="34">
        <f t="shared" si="5"/>
        <v>125.75</v>
      </c>
      <c r="P45" s="35">
        <f t="shared" si="6"/>
        <v>125.75</v>
      </c>
      <c r="Q45" s="36"/>
      <c r="R45" s="14"/>
      <c r="S45" s="14"/>
      <c r="T45" s="14"/>
      <c r="U45" s="14"/>
      <c r="V45" s="14"/>
      <c r="W45" s="14"/>
      <c r="X45" s="14"/>
      <c r="Y45" s="14"/>
      <c r="Z45" s="14"/>
    </row>
    <row r="46" ht="12.75" customHeight="1">
      <c r="A46" s="26" t="s">
        <v>67</v>
      </c>
      <c r="B46" s="26" t="s">
        <v>48</v>
      </c>
      <c r="C46" s="26" t="s">
        <v>20</v>
      </c>
      <c r="D46" s="27">
        <v>207.0</v>
      </c>
      <c r="E46" s="28">
        <v>4.214708E8</v>
      </c>
      <c r="F46" s="27">
        <v>0.0</v>
      </c>
      <c r="G46" s="28">
        <v>0.0</v>
      </c>
      <c r="H46" s="27">
        <v>207.0</v>
      </c>
      <c r="I46" s="28">
        <v>4.214708E8</v>
      </c>
      <c r="J46" s="29">
        <f t="shared" si="2"/>
        <v>2036090.821</v>
      </c>
      <c r="K46" s="30">
        <f t="shared" ref="K46:L46" si="44">H46/12</f>
        <v>17.25</v>
      </c>
      <c r="L46" s="31">
        <f t="shared" si="44"/>
        <v>35122566.67</v>
      </c>
      <c r="M46" s="32">
        <v>33.0</v>
      </c>
      <c r="N46" s="33">
        <f t="shared" si="4"/>
        <v>51.75</v>
      </c>
      <c r="O46" s="34">
        <f t="shared" si="5"/>
        <v>18.75</v>
      </c>
      <c r="P46" s="35">
        <f t="shared" si="6"/>
        <v>18.75</v>
      </c>
      <c r="Q46" s="36"/>
      <c r="R46" s="14"/>
      <c r="S46" s="14"/>
      <c r="T46" s="14"/>
      <c r="U46" s="14"/>
      <c r="V46" s="14"/>
      <c r="W46" s="14"/>
      <c r="X46" s="14"/>
      <c r="Y46" s="14"/>
      <c r="Z46" s="14"/>
    </row>
    <row r="47" ht="12.75" customHeight="1">
      <c r="A47" s="26" t="s">
        <v>68</v>
      </c>
      <c r="B47" s="26" t="s">
        <v>19</v>
      </c>
      <c r="C47" s="26" t="s">
        <v>20</v>
      </c>
      <c r="D47" s="27">
        <v>445.0</v>
      </c>
      <c r="E47" s="28">
        <v>4.164169E8</v>
      </c>
      <c r="F47" s="27">
        <v>0.0</v>
      </c>
      <c r="G47" s="28">
        <v>0.0</v>
      </c>
      <c r="H47" s="27">
        <v>445.0</v>
      </c>
      <c r="I47" s="28">
        <v>4.164169E8</v>
      </c>
      <c r="J47" s="29">
        <f t="shared" si="2"/>
        <v>935768.3146</v>
      </c>
      <c r="K47" s="30">
        <f t="shared" ref="K47:L47" si="45">H47/12</f>
        <v>37.08333333</v>
      </c>
      <c r="L47" s="31">
        <f t="shared" si="45"/>
        <v>34701408.33</v>
      </c>
      <c r="M47" s="32">
        <v>360.0</v>
      </c>
      <c r="N47" s="33">
        <f t="shared" si="4"/>
        <v>111.25</v>
      </c>
      <c r="O47" s="34">
        <f t="shared" si="5"/>
        <v>-248.75</v>
      </c>
      <c r="P47" s="35" t="str">
        <f t="shared" si="6"/>
        <v/>
      </c>
      <c r="Q47" s="36"/>
      <c r="R47" s="14"/>
      <c r="S47" s="14"/>
      <c r="T47" s="14"/>
      <c r="U47" s="14"/>
      <c r="V47" s="14"/>
      <c r="W47" s="14"/>
      <c r="X47" s="14"/>
      <c r="Y47" s="14"/>
      <c r="Z47" s="14"/>
    </row>
    <row r="48" ht="12.75" customHeight="1">
      <c r="A48" s="26" t="s">
        <v>69</v>
      </c>
      <c r="B48" s="26" t="s">
        <v>46</v>
      </c>
      <c r="C48" s="26" t="s">
        <v>20</v>
      </c>
      <c r="D48" s="27">
        <v>189.0</v>
      </c>
      <c r="E48" s="28">
        <v>4.040981E8</v>
      </c>
      <c r="F48" s="27">
        <v>0.0</v>
      </c>
      <c r="G48" s="28">
        <v>0.0</v>
      </c>
      <c r="H48" s="27">
        <v>189.0</v>
      </c>
      <c r="I48" s="28">
        <v>4.040981E8</v>
      </c>
      <c r="J48" s="29">
        <f t="shared" si="2"/>
        <v>2138085.185</v>
      </c>
      <c r="K48" s="30">
        <f t="shared" ref="K48:L48" si="46">H48/12</f>
        <v>15.75</v>
      </c>
      <c r="L48" s="31">
        <f t="shared" si="46"/>
        <v>33674841.67</v>
      </c>
      <c r="M48" s="32">
        <v>114.0</v>
      </c>
      <c r="N48" s="33">
        <f t="shared" si="4"/>
        <v>47.25</v>
      </c>
      <c r="O48" s="34">
        <f t="shared" si="5"/>
        <v>-66.75</v>
      </c>
      <c r="P48" s="35" t="str">
        <f t="shared" si="6"/>
        <v/>
      </c>
      <c r="Q48" s="36"/>
      <c r="R48" s="14"/>
      <c r="S48" s="14"/>
      <c r="T48" s="14"/>
      <c r="U48" s="14"/>
      <c r="V48" s="14"/>
      <c r="W48" s="14"/>
      <c r="X48" s="14"/>
      <c r="Y48" s="14"/>
      <c r="Z48" s="14"/>
    </row>
    <row r="49" ht="12.75" customHeight="1">
      <c r="A49" s="26" t="s">
        <v>70</v>
      </c>
      <c r="B49" s="26" t="s">
        <v>48</v>
      </c>
      <c r="C49" s="26" t="s">
        <v>20</v>
      </c>
      <c r="D49" s="27">
        <v>277.0</v>
      </c>
      <c r="E49" s="28">
        <v>3.9001755E8</v>
      </c>
      <c r="F49" s="27">
        <v>0.0</v>
      </c>
      <c r="G49" s="28">
        <v>0.0</v>
      </c>
      <c r="H49" s="27">
        <v>277.0</v>
      </c>
      <c r="I49" s="28">
        <v>3.9001755E8</v>
      </c>
      <c r="J49" s="29">
        <f t="shared" si="2"/>
        <v>1408005.596</v>
      </c>
      <c r="K49" s="30">
        <f t="shared" ref="K49:L49" si="47">H49/12</f>
        <v>23.08333333</v>
      </c>
      <c r="L49" s="31">
        <f t="shared" si="47"/>
        <v>32501462.5</v>
      </c>
      <c r="M49" s="32">
        <v>6.0</v>
      </c>
      <c r="N49" s="33">
        <f t="shared" si="4"/>
        <v>69.25</v>
      </c>
      <c r="O49" s="34">
        <f t="shared" si="5"/>
        <v>63.25</v>
      </c>
      <c r="P49" s="35">
        <f t="shared" si="6"/>
        <v>63.25</v>
      </c>
      <c r="Q49" s="36"/>
      <c r="R49" s="14"/>
      <c r="S49" s="14"/>
      <c r="T49" s="14"/>
      <c r="U49" s="14"/>
      <c r="V49" s="14"/>
      <c r="W49" s="14"/>
      <c r="X49" s="14"/>
      <c r="Y49" s="14"/>
      <c r="Z49" s="14"/>
    </row>
    <row r="50" ht="12.75" customHeight="1">
      <c r="A50" s="26" t="s">
        <v>71</v>
      </c>
      <c r="B50" s="26" t="s">
        <v>48</v>
      </c>
      <c r="C50" s="26" t="s">
        <v>20</v>
      </c>
      <c r="D50" s="27">
        <v>164.0</v>
      </c>
      <c r="E50" s="28">
        <v>3.8209955E8</v>
      </c>
      <c r="F50" s="27">
        <v>0.0</v>
      </c>
      <c r="G50" s="28">
        <v>0.0</v>
      </c>
      <c r="H50" s="27">
        <v>164.0</v>
      </c>
      <c r="I50" s="28">
        <v>3.8209955E8</v>
      </c>
      <c r="J50" s="29">
        <f t="shared" si="2"/>
        <v>2329875.305</v>
      </c>
      <c r="K50" s="30">
        <f t="shared" ref="K50:L50" si="48">H50/12</f>
        <v>13.66666667</v>
      </c>
      <c r="L50" s="31">
        <f t="shared" si="48"/>
        <v>31841629.17</v>
      </c>
      <c r="M50" s="37">
        <v>105.0</v>
      </c>
      <c r="N50" s="33">
        <f t="shared" si="4"/>
        <v>41</v>
      </c>
      <c r="O50" s="34">
        <f t="shared" si="5"/>
        <v>-64</v>
      </c>
      <c r="P50" s="35" t="str">
        <f t="shared" si="6"/>
        <v/>
      </c>
      <c r="Q50" s="36"/>
      <c r="R50" s="14"/>
      <c r="S50" s="14"/>
      <c r="T50" s="14"/>
      <c r="U50" s="14"/>
      <c r="V50" s="14"/>
      <c r="W50" s="14"/>
      <c r="X50" s="14"/>
      <c r="Y50" s="14"/>
      <c r="Z50" s="14"/>
    </row>
    <row r="51" ht="12.75" customHeight="1">
      <c r="A51" s="26" t="s">
        <v>72</v>
      </c>
      <c r="B51" s="26" t="s">
        <v>19</v>
      </c>
      <c r="C51" s="26" t="s">
        <v>20</v>
      </c>
      <c r="D51" s="27">
        <v>513.0</v>
      </c>
      <c r="E51" s="28">
        <v>3.777672E8</v>
      </c>
      <c r="F51" s="27">
        <v>0.0</v>
      </c>
      <c r="G51" s="28">
        <v>0.0</v>
      </c>
      <c r="H51" s="27">
        <v>513.0</v>
      </c>
      <c r="I51" s="28">
        <v>3.777672E8</v>
      </c>
      <c r="J51" s="29">
        <f t="shared" si="2"/>
        <v>736388.3041</v>
      </c>
      <c r="K51" s="30">
        <f t="shared" ref="K51:L51" si="49">H51/12</f>
        <v>42.75</v>
      </c>
      <c r="L51" s="31">
        <f t="shared" si="49"/>
        <v>31480600</v>
      </c>
      <c r="M51" s="32">
        <v>0.0</v>
      </c>
      <c r="N51" s="33">
        <f t="shared" si="4"/>
        <v>128.25</v>
      </c>
      <c r="O51" s="34">
        <f t="shared" si="5"/>
        <v>128.25</v>
      </c>
      <c r="P51" s="35">
        <f t="shared" si="6"/>
        <v>128.25</v>
      </c>
      <c r="Q51" s="36"/>
      <c r="R51" s="14"/>
      <c r="S51" s="14"/>
      <c r="T51" s="14"/>
      <c r="U51" s="14"/>
      <c r="V51" s="14"/>
      <c r="W51" s="14"/>
      <c r="X51" s="14"/>
      <c r="Y51" s="14"/>
      <c r="Z51" s="14"/>
    </row>
    <row r="52" ht="12.75" customHeight="1">
      <c r="A52" s="26" t="s">
        <v>73</v>
      </c>
      <c r="B52" s="26" t="s">
        <v>22</v>
      </c>
      <c r="C52" s="26" t="s">
        <v>20</v>
      </c>
      <c r="D52" s="27">
        <v>195.0</v>
      </c>
      <c r="E52" s="28">
        <v>3.7717875E8</v>
      </c>
      <c r="F52" s="27">
        <v>0.0</v>
      </c>
      <c r="G52" s="28">
        <v>0.0</v>
      </c>
      <c r="H52" s="27">
        <v>195.0</v>
      </c>
      <c r="I52" s="28">
        <v>3.7717875E8</v>
      </c>
      <c r="J52" s="29">
        <f t="shared" si="2"/>
        <v>1934250</v>
      </c>
      <c r="K52" s="30">
        <f t="shared" ref="K52:L52" si="50">H52/12</f>
        <v>16.25</v>
      </c>
      <c r="L52" s="31">
        <f t="shared" si="50"/>
        <v>31431562.5</v>
      </c>
      <c r="M52" s="37">
        <v>3.0</v>
      </c>
      <c r="N52" s="33">
        <f t="shared" si="4"/>
        <v>48.75</v>
      </c>
      <c r="O52" s="34">
        <f t="shared" si="5"/>
        <v>45.75</v>
      </c>
      <c r="P52" s="35">
        <f t="shared" si="6"/>
        <v>45.75</v>
      </c>
      <c r="Q52" s="36"/>
      <c r="R52" s="14"/>
      <c r="S52" s="14"/>
      <c r="T52" s="14"/>
      <c r="U52" s="14"/>
      <c r="V52" s="14"/>
      <c r="W52" s="14"/>
      <c r="X52" s="14"/>
      <c r="Y52" s="14"/>
      <c r="Z52" s="14"/>
    </row>
    <row r="53" ht="12.75" customHeight="1">
      <c r="A53" s="26" t="s">
        <v>74</v>
      </c>
      <c r="B53" s="26" t="s">
        <v>48</v>
      </c>
      <c r="C53" s="26" t="s">
        <v>20</v>
      </c>
      <c r="D53" s="27">
        <v>204.0</v>
      </c>
      <c r="E53" s="28">
        <v>3.73997E8</v>
      </c>
      <c r="F53" s="27">
        <v>0.0</v>
      </c>
      <c r="G53" s="28">
        <v>0.0</v>
      </c>
      <c r="H53" s="27">
        <v>204.0</v>
      </c>
      <c r="I53" s="28">
        <v>3.73997E8</v>
      </c>
      <c r="J53" s="29">
        <f t="shared" si="2"/>
        <v>1833318.627</v>
      </c>
      <c r="K53" s="30">
        <f t="shared" ref="K53:L53" si="51">H53/12</f>
        <v>17</v>
      </c>
      <c r="L53" s="31">
        <f t="shared" si="51"/>
        <v>31166416.67</v>
      </c>
      <c r="M53" s="37">
        <v>3.0</v>
      </c>
      <c r="N53" s="33">
        <f t="shared" si="4"/>
        <v>51</v>
      </c>
      <c r="O53" s="34">
        <f t="shared" si="5"/>
        <v>48</v>
      </c>
      <c r="P53" s="35">
        <f t="shared" si="6"/>
        <v>48</v>
      </c>
      <c r="Q53" s="36"/>
      <c r="R53" s="14"/>
      <c r="S53" s="14"/>
      <c r="T53" s="14"/>
      <c r="U53" s="14"/>
      <c r="V53" s="14"/>
      <c r="W53" s="14"/>
      <c r="X53" s="14"/>
      <c r="Y53" s="14"/>
      <c r="Z53" s="14"/>
    </row>
    <row r="54" ht="12.75" customHeight="1">
      <c r="A54" s="26" t="s">
        <v>75</v>
      </c>
      <c r="B54" s="26" t="s">
        <v>48</v>
      </c>
      <c r="C54" s="26" t="s">
        <v>20</v>
      </c>
      <c r="D54" s="27">
        <v>276.0</v>
      </c>
      <c r="E54" s="28">
        <v>3.64368E8</v>
      </c>
      <c r="F54" s="27">
        <v>0.0</v>
      </c>
      <c r="G54" s="28">
        <v>0.0</v>
      </c>
      <c r="H54" s="27">
        <v>276.0</v>
      </c>
      <c r="I54" s="28">
        <v>3.64368E8</v>
      </c>
      <c r="J54" s="29">
        <f t="shared" si="2"/>
        <v>1320173.913</v>
      </c>
      <c r="K54" s="30">
        <f t="shared" ref="K54:L54" si="52">H54/12</f>
        <v>23</v>
      </c>
      <c r="L54" s="31">
        <f t="shared" si="52"/>
        <v>30364000</v>
      </c>
      <c r="M54" s="37">
        <v>152.0</v>
      </c>
      <c r="N54" s="33">
        <f t="shared" si="4"/>
        <v>69</v>
      </c>
      <c r="O54" s="34">
        <f t="shared" si="5"/>
        <v>-83</v>
      </c>
      <c r="P54" s="35" t="str">
        <f t="shared" si="6"/>
        <v/>
      </c>
      <c r="Q54" s="36"/>
      <c r="R54" s="14"/>
      <c r="S54" s="14"/>
      <c r="T54" s="14"/>
      <c r="U54" s="14"/>
      <c r="V54" s="14"/>
      <c r="W54" s="14"/>
      <c r="X54" s="14"/>
      <c r="Y54" s="14"/>
      <c r="Z54" s="14"/>
    </row>
    <row r="55" ht="12.75" customHeight="1">
      <c r="A55" s="26" t="s">
        <v>76</v>
      </c>
      <c r="B55" s="26" t="s">
        <v>35</v>
      </c>
      <c r="C55" s="26" t="s">
        <v>36</v>
      </c>
      <c r="D55" s="27">
        <v>4727.0</v>
      </c>
      <c r="E55" s="28">
        <v>3.617526E8</v>
      </c>
      <c r="F55" s="27">
        <v>0.0</v>
      </c>
      <c r="G55" s="28">
        <v>0.0</v>
      </c>
      <c r="H55" s="27">
        <v>4727.0</v>
      </c>
      <c r="I55" s="28">
        <v>3.617526E8</v>
      </c>
      <c r="J55" s="29">
        <f t="shared" si="2"/>
        <v>76529.0036</v>
      </c>
      <c r="K55" s="30">
        <f t="shared" ref="K55:L55" si="53">H55/12</f>
        <v>393.9166667</v>
      </c>
      <c r="L55" s="31">
        <f t="shared" si="53"/>
        <v>30146050</v>
      </c>
      <c r="M55" s="37">
        <v>0.0</v>
      </c>
      <c r="N55" s="33">
        <f t="shared" si="4"/>
        <v>1181.75</v>
      </c>
      <c r="O55" s="34">
        <f t="shared" si="5"/>
        <v>1181.75</v>
      </c>
      <c r="P55" s="35">
        <f t="shared" si="6"/>
        <v>1181.75</v>
      </c>
      <c r="Q55" s="36" t="s">
        <v>77</v>
      </c>
      <c r="R55" s="14"/>
      <c r="S55" s="14"/>
      <c r="T55" s="14"/>
      <c r="U55" s="14"/>
      <c r="V55" s="14"/>
      <c r="W55" s="14"/>
      <c r="X55" s="14"/>
      <c r="Y55" s="14"/>
      <c r="Z55" s="14"/>
    </row>
    <row r="56" ht="12.75" customHeight="1">
      <c r="A56" s="26" t="s">
        <v>78</v>
      </c>
      <c r="B56" s="26" t="s">
        <v>19</v>
      </c>
      <c r="C56" s="26" t="s">
        <v>20</v>
      </c>
      <c r="D56" s="27">
        <v>538.0</v>
      </c>
      <c r="E56" s="28">
        <v>3.580279E8</v>
      </c>
      <c r="F56" s="27">
        <v>0.0</v>
      </c>
      <c r="G56" s="28">
        <v>0.0</v>
      </c>
      <c r="H56" s="27">
        <v>538.0</v>
      </c>
      <c r="I56" s="28">
        <v>3.580279E8</v>
      </c>
      <c r="J56" s="29">
        <f t="shared" si="2"/>
        <v>665479.368</v>
      </c>
      <c r="K56" s="30">
        <f t="shared" ref="K56:L56" si="54">H56/12</f>
        <v>44.83333333</v>
      </c>
      <c r="L56" s="31">
        <f t="shared" si="54"/>
        <v>29835658.33</v>
      </c>
      <c r="M56" s="37">
        <v>0.0</v>
      </c>
      <c r="N56" s="33">
        <f t="shared" si="4"/>
        <v>134.5</v>
      </c>
      <c r="O56" s="34">
        <f t="shared" si="5"/>
        <v>134.5</v>
      </c>
      <c r="P56" s="35">
        <f t="shared" si="6"/>
        <v>134.5</v>
      </c>
      <c r="Q56" s="36"/>
      <c r="R56" s="14"/>
      <c r="S56" s="14"/>
      <c r="T56" s="14"/>
      <c r="U56" s="14"/>
      <c r="V56" s="14"/>
      <c r="W56" s="14"/>
      <c r="X56" s="14"/>
      <c r="Y56" s="14"/>
      <c r="Z56" s="14"/>
    </row>
    <row r="57" ht="12.75" customHeight="1">
      <c r="A57" s="26" t="s">
        <v>79</v>
      </c>
      <c r="B57" s="26" t="s">
        <v>22</v>
      </c>
      <c r="C57" s="26" t="s">
        <v>20</v>
      </c>
      <c r="D57" s="27">
        <v>198.0</v>
      </c>
      <c r="E57" s="28">
        <v>3.55427E8</v>
      </c>
      <c r="F57" s="27">
        <v>0.0</v>
      </c>
      <c r="G57" s="28">
        <v>0.0</v>
      </c>
      <c r="H57" s="27">
        <v>198.0</v>
      </c>
      <c r="I57" s="28">
        <v>3.55427E8</v>
      </c>
      <c r="J57" s="29">
        <f t="shared" si="2"/>
        <v>1795085.859</v>
      </c>
      <c r="K57" s="30">
        <f t="shared" ref="K57:L57" si="55">H57/12</f>
        <v>16.5</v>
      </c>
      <c r="L57" s="31">
        <f t="shared" si="55"/>
        <v>29618916.67</v>
      </c>
      <c r="M57" s="37">
        <v>18.0</v>
      </c>
      <c r="N57" s="33">
        <f t="shared" si="4"/>
        <v>49.5</v>
      </c>
      <c r="O57" s="34">
        <f t="shared" si="5"/>
        <v>31.5</v>
      </c>
      <c r="P57" s="35">
        <f t="shared" si="6"/>
        <v>31.5</v>
      </c>
      <c r="Q57" s="36"/>
      <c r="R57" s="14"/>
      <c r="S57" s="14"/>
      <c r="T57" s="14"/>
      <c r="U57" s="14"/>
      <c r="V57" s="14"/>
      <c r="W57" s="14"/>
      <c r="X57" s="14"/>
      <c r="Y57" s="14"/>
      <c r="Z57" s="14"/>
    </row>
    <row r="58" ht="12.75" customHeight="1">
      <c r="A58" s="26" t="s">
        <v>80</v>
      </c>
      <c r="B58" s="26" t="s">
        <v>81</v>
      </c>
      <c r="C58" s="26" t="s">
        <v>36</v>
      </c>
      <c r="D58" s="27">
        <v>1918.0</v>
      </c>
      <c r="E58" s="28">
        <v>3.402803E8</v>
      </c>
      <c r="F58" s="27">
        <v>0.0</v>
      </c>
      <c r="G58" s="28">
        <v>0.0</v>
      </c>
      <c r="H58" s="27">
        <v>1918.0</v>
      </c>
      <c r="I58" s="28">
        <v>3.402803E8</v>
      </c>
      <c r="J58" s="29">
        <f t="shared" si="2"/>
        <v>177414.1293</v>
      </c>
      <c r="K58" s="30">
        <f t="shared" ref="K58:L58" si="56">H58/12</f>
        <v>159.8333333</v>
      </c>
      <c r="L58" s="31">
        <f t="shared" si="56"/>
        <v>28356691.67</v>
      </c>
      <c r="M58" s="32">
        <v>1071.0</v>
      </c>
      <c r="N58" s="33">
        <f t="shared" si="4"/>
        <v>479.5</v>
      </c>
      <c r="O58" s="34">
        <f t="shared" si="5"/>
        <v>-591.5</v>
      </c>
      <c r="P58" s="35" t="str">
        <f t="shared" si="6"/>
        <v/>
      </c>
      <c r="Q58" s="36"/>
      <c r="R58" s="14"/>
      <c r="S58" s="14"/>
      <c r="T58" s="14"/>
      <c r="U58" s="14"/>
      <c r="V58" s="14"/>
      <c r="W58" s="14"/>
      <c r="X58" s="14"/>
      <c r="Y58" s="14"/>
      <c r="Z58" s="14"/>
    </row>
    <row r="59" ht="12.75" customHeight="1">
      <c r="A59" s="26" t="s">
        <v>82</v>
      </c>
      <c r="B59" s="26" t="s">
        <v>22</v>
      </c>
      <c r="C59" s="26" t="s">
        <v>20</v>
      </c>
      <c r="D59" s="27">
        <v>185.0</v>
      </c>
      <c r="E59" s="28">
        <v>3.4005775E8</v>
      </c>
      <c r="F59" s="27">
        <v>0.0</v>
      </c>
      <c r="G59" s="28">
        <v>0.0</v>
      </c>
      <c r="H59" s="27">
        <v>185.0</v>
      </c>
      <c r="I59" s="28">
        <v>3.4005775E8</v>
      </c>
      <c r="J59" s="29">
        <f t="shared" si="2"/>
        <v>1838150</v>
      </c>
      <c r="K59" s="30">
        <f t="shared" ref="K59:L59" si="57">H59/12</f>
        <v>15.41666667</v>
      </c>
      <c r="L59" s="31">
        <f t="shared" si="57"/>
        <v>28338145.83</v>
      </c>
      <c r="M59" s="37">
        <v>0.0</v>
      </c>
      <c r="N59" s="33">
        <f t="shared" si="4"/>
        <v>46.25</v>
      </c>
      <c r="O59" s="34">
        <f t="shared" si="5"/>
        <v>46.25</v>
      </c>
      <c r="P59" s="35">
        <f t="shared" si="6"/>
        <v>46.25</v>
      </c>
      <c r="Q59" s="36"/>
      <c r="R59" s="14"/>
      <c r="S59" s="14"/>
      <c r="T59" s="14"/>
      <c r="U59" s="14"/>
      <c r="V59" s="14"/>
      <c r="W59" s="14"/>
      <c r="X59" s="14"/>
      <c r="Y59" s="14"/>
      <c r="Z59" s="14"/>
    </row>
    <row r="60" ht="12.75" customHeight="1">
      <c r="A60" s="26" t="s">
        <v>83</v>
      </c>
      <c r="B60" s="26" t="s">
        <v>25</v>
      </c>
      <c r="C60" s="26" t="s">
        <v>20</v>
      </c>
      <c r="D60" s="27">
        <v>484.0</v>
      </c>
      <c r="E60" s="28">
        <v>3.371708E8</v>
      </c>
      <c r="F60" s="27">
        <v>0.0</v>
      </c>
      <c r="G60" s="28">
        <v>0.0</v>
      </c>
      <c r="H60" s="27">
        <v>484.0</v>
      </c>
      <c r="I60" s="28">
        <v>3.371708E8</v>
      </c>
      <c r="J60" s="29">
        <f t="shared" si="2"/>
        <v>696633.8843</v>
      </c>
      <c r="K60" s="30">
        <f t="shared" ref="K60:L60" si="58">H60/12</f>
        <v>40.33333333</v>
      </c>
      <c r="L60" s="31">
        <f t="shared" si="58"/>
        <v>28097566.67</v>
      </c>
      <c r="M60" s="37">
        <v>0.0</v>
      </c>
      <c r="N60" s="33">
        <f t="shared" si="4"/>
        <v>121</v>
      </c>
      <c r="O60" s="34">
        <f t="shared" si="5"/>
        <v>121</v>
      </c>
      <c r="P60" s="35">
        <f t="shared" si="6"/>
        <v>121</v>
      </c>
      <c r="Q60" s="36"/>
      <c r="R60" s="14"/>
      <c r="S60" s="14"/>
      <c r="T60" s="14"/>
      <c r="U60" s="14"/>
      <c r="V60" s="14"/>
      <c r="W60" s="14"/>
      <c r="X60" s="14"/>
      <c r="Y60" s="14"/>
      <c r="Z60" s="14"/>
    </row>
    <row r="61" ht="12.75" customHeight="1">
      <c r="A61" s="26" t="s">
        <v>84</v>
      </c>
      <c r="B61" s="26" t="s">
        <v>48</v>
      </c>
      <c r="C61" s="26" t="s">
        <v>20</v>
      </c>
      <c r="D61" s="27">
        <v>207.0</v>
      </c>
      <c r="E61" s="28">
        <v>3.368105E8</v>
      </c>
      <c r="F61" s="27">
        <v>0.0</v>
      </c>
      <c r="G61" s="28">
        <v>0.0</v>
      </c>
      <c r="H61" s="27">
        <v>207.0</v>
      </c>
      <c r="I61" s="28">
        <v>3.368105E8</v>
      </c>
      <c r="J61" s="29">
        <f t="shared" si="2"/>
        <v>1627103.865</v>
      </c>
      <c r="K61" s="30">
        <f t="shared" ref="K61:L61" si="59">H61/12</f>
        <v>17.25</v>
      </c>
      <c r="L61" s="31">
        <f t="shared" si="59"/>
        <v>28067541.67</v>
      </c>
      <c r="M61" s="37">
        <v>211.0</v>
      </c>
      <c r="N61" s="33">
        <f t="shared" si="4"/>
        <v>51.75</v>
      </c>
      <c r="O61" s="34">
        <f t="shared" si="5"/>
        <v>-159.25</v>
      </c>
      <c r="P61" s="35" t="str">
        <f t="shared" si="6"/>
        <v/>
      </c>
      <c r="Q61" s="36"/>
      <c r="R61" s="14"/>
      <c r="S61" s="14"/>
      <c r="T61" s="14"/>
      <c r="U61" s="14"/>
      <c r="V61" s="14"/>
      <c r="W61" s="14"/>
      <c r="X61" s="14"/>
      <c r="Y61" s="14"/>
      <c r="Z61" s="14"/>
    </row>
    <row r="62" ht="12.75" customHeight="1">
      <c r="A62" s="26" t="s">
        <v>85</v>
      </c>
      <c r="B62" s="26" t="s">
        <v>22</v>
      </c>
      <c r="C62" s="26" t="s">
        <v>20</v>
      </c>
      <c r="D62" s="27">
        <v>147.0</v>
      </c>
      <c r="E62" s="28">
        <v>3.35301E8</v>
      </c>
      <c r="F62" s="27">
        <v>0.0</v>
      </c>
      <c r="G62" s="28">
        <v>0.0</v>
      </c>
      <c r="H62" s="27">
        <v>147.0</v>
      </c>
      <c r="I62" s="28">
        <v>3.35301E8</v>
      </c>
      <c r="J62" s="29">
        <f t="shared" si="2"/>
        <v>2280959.184</v>
      </c>
      <c r="K62" s="30">
        <f t="shared" ref="K62:L62" si="60">H62/12</f>
        <v>12.25</v>
      </c>
      <c r="L62" s="31">
        <f t="shared" si="60"/>
        <v>27941750</v>
      </c>
      <c r="M62" s="32">
        <v>14.0</v>
      </c>
      <c r="N62" s="33">
        <f t="shared" si="4"/>
        <v>36.75</v>
      </c>
      <c r="O62" s="34">
        <f t="shared" si="5"/>
        <v>22.75</v>
      </c>
      <c r="P62" s="35">
        <f t="shared" si="6"/>
        <v>22.75</v>
      </c>
      <c r="Q62" s="36"/>
      <c r="R62" s="14"/>
      <c r="S62" s="14"/>
      <c r="T62" s="14"/>
      <c r="U62" s="14"/>
      <c r="V62" s="14"/>
      <c r="W62" s="14"/>
      <c r="X62" s="14"/>
      <c r="Y62" s="14"/>
      <c r="Z62" s="14"/>
    </row>
    <row r="63" ht="12.75" customHeight="1">
      <c r="A63" s="26" t="s">
        <v>86</v>
      </c>
      <c r="B63" s="26" t="s">
        <v>22</v>
      </c>
      <c r="C63" s="26" t="s">
        <v>20</v>
      </c>
      <c r="D63" s="27">
        <v>228.0</v>
      </c>
      <c r="E63" s="28">
        <v>3.3259375E8</v>
      </c>
      <c r="F63" s="27">
        <v>0.0</v>
      </c>
      <c r="G63" s="28">
        <v>0.0</v>
      </c>
      <c r="H63" s="27">
        <v>228.0</v>
      </c>
      <c r="I63" s="28">
        <v>3.3259375E8</v>
      </c>
      <c r="J63" s="29">
        <f t="shared" si="2"/>
        <v>1458744.518</v>
      </c>
      <c r="K63" s="30">
        <f t="shared" ref="K63:L63" si="61">H63/12</f>
        <v>19</v>
      </c>
      <c r="L63" s="31">
        <f t="shared" si="61"/>
        <v>27716145.83</v>
      </c>
      <c r="M63" s="32">
        <v>8.0</v>
      </c>
      <c r="N63" s="33">
        <f t="shared" si="4"/>
        <v>57</v>
      </c>
      <c r="O63" s="34">
        <f t="shared" si="5"/>
        <v>49</v>
      </c>
      <c r="P63" s="35">
        <f t="shared" si="6"/>
        <v>49</v>
      </c>
      <c r="Q63" s="36"/>
      <c r="R63" s="14"/>
      <c r="S63" s="14"/>
      <c r="T63" s="14"/>
      <c r="U63" s="14"/>
      <c r="V63" s="14"/>
      <c r="W63" s="14"/>
      <c r="X63" s="14"/>
      <c r="Y63" s="14"/>
      <c r="Z63" s="14"/>
    </row>
    <row r="64" ht="12.75" customHeight="1">
      <c r="A64" s="26" t="s">
        <v>87</v>
      </c>
      <c r="B64" s="26" t="s">
        <v>25</v>
      </c>
      <c r="C64" s="26" t="s">
        <v>20</v>
      </c>
      <c r="D64" s="27">
        <v>446.0</v>
      </c>
      <c r="E64" s="28">
        <v>3.3146125E8</v>
      </c>
      <c r="F64" s="27">
        <v>0.0</v>
      </c>
      <c r="G64" s="28">
        <v>0.0</v>
      </c>
      <c r="H64" s="27">
        <v>446.0</v>
      </c>
      <c r="I64" s="28">
        <v>3.3146125E8</v>
      </c>
      <c r="J64" s="29">
        <f t="shared" si="2"/>
        <v>743186.6592</v>
      </c>
      <c r="K64" s="30">
        <f t="shared" ref="K64:L64" si="62">H64/12</f>
        <v>37.16666667</v>
      </c>
      <c r="L64" s="31">
        <f t="shared" si="62"/>
        <v>27621770.83</v>
      </c>
      <c r="M64" s="32">
        <v>2.0</v>
      </c>
      <c r="N64" s="33">
        <f t="shared" si="4"/>
        <v>111.5</v>
      </c>
      <c r="O64" s="34">
        <f t="shared" si="5"/>
        <v>109.5</v>
      </c>
      <c r="P64" s="35">
        <f t="shared" si="6"/>
        <v>109.5</v>
      </c>
      <c r="Q64" s="36"/>
      <c r="R64" s="14"/>
      <c r="S64" s="14"/>
      <c r="T64" s="14"/>
      <c r="U64" s="14"/>
      <c r="V64" s="14"/>
      <c r="W64" s="14"/>
      <c r="X64" s="14"/>
      <c r="Y64" s="14"/>
      <c r="Z64" s="14"/>
    </row>
    <row r="65" ht="12.75" customHeight="1">
      <c r="A65" s="26" t="s">
        <v>88</v>
      </c>
      <c r="B65" s="26" t="s">
        <v>81</v>
      </c>
      <c r="C65" s="26" t="s">
        <v>36</v>
      </c>
      <c r="D65" s="27">
        <v>1258.0</v>
      </c>
      <c r="E65" s="28">
        <v>3.143427E8</v>
      </c>
      <c r="F65" s="27">
        <v>0.0</v>
      </c>
      <c r="G65" s="28">
        <v>0.0</v>
      </c>
      <c r="H65" s="27">
        <v>1258.0</v>
      </c>
      <c r="I65" s="28">
        <v>3.143427E8</v>
      </c>
      <c r="J65" s="29">
        <f t="shared" si="2"/>
        <v>249874.9603</v>
      </c>
      <c r="K65" s="30">
        <f t="shared" ref="K65:L65" si="63">H65/12</f>
        <v>104.8333333</v>
      </c>
      <c r="L65" s="31">
        <f t="shared" si="63"/>
        <v>26195225</v>
      </c>
      <c r="M65" s="32">
        <v>208.0</v>
      </c>
      <c r="N65" s="33">
        <f t="shared" si="4"/>
        <v>314.5</v>
      </c>
      <c r="O65" s="34">
        <f t="shared" si="5"/>
        <v>106.5</v>
      </c>
      <c r="P65" s="35">
        <f t="shared" si="6"/>
        <v>106.5</v>
      </c>
      <c r="Q65" s="36"/>
      <c r="R65" s="14"/>
      <c r="S65" s="14"/>
      <c r="T65" s="14"/>
      <c r="U65" s="14"/>
      <c r="V65" s="14"/>
      <c r="W65" s="14"/>
      <c r="X65" s="14"/>
      <c r="Y65" s="14"/>
      <c r="Z65" s="14"/>
    </row>
    <row r="66" ht="12.75" customHeight="1">
      <c r="A66" s="26" t="s">
        <v>89</v>
      </c>
      <c r="B66" s="26" t="s">
        <v>31</v>
      </c>
      <c r="C66" s="26" t="s">
        <v>20</v>
      </c>
      <c r="D66" s="27">
        <v>267.0</v>
      </c>
      <c r="E66" s="28">
        <v>3.132572E8</v>
      </c>
      <c r="F66" s="27">
        <v>0.0</v>
      </c>
      <c r="G66" s="28">
        <v>0.0</v>
      </c>
      <c r="H66" s="27">
        <v>267.0</v>
      </c>
      <c r="I66" s="28">
        <v>3.132572E8</v>
      </c>
      <c r="J66" s="29">
        <f t="shared" si="2"/>
        <v>1173247.94</v>
      </c>
      <c r="K66" s="30">
        <f t="shared" ref="K66:L66" si="64">H66/12</f>
        <v>22.25</v>
      </c>
      <c r="L66" s="31">
        <f t="shared" si="64"/>
        <v>26104766.67</v>
      </c>
      <c r="M66" s="32">
        <v>9.0</v>
      </c>
      <c r="N66" s="33">
        <f t="shared" si="4"/>
        <v>66.75</v>
      </c>
      <c r="O66" s="34">
        <f t="shared" si="5"/>
        <v>57.75</v>
      </c>
      <c r="P66" s="35">
        <f t="shared" si="6"/>
        <v>57.75</v>
      </c>
      <c r="Q66" s="36"/>
      <c r="R66" s="14"/>
      <c r="S66" s="14"/>
      <c r="T66" s="14"/>
      <c r="U66" s="14"/>
      <c r="V66" s="14"/>
      <c r="W66" s="14"/>
      <c r="X66" s="14"/>
      <c r="Y66" s="14"/>
      <c r="Z66" s="14"/>
    </row>
    <row r="67" ht="12.75" customHeight="1">
      <c r="A67" s="26" t="s">
        <v>90</v>
      </c>
      <c r="B67" s="26" t="s">
        <v>46</v>
      </c>
      <c r="C67" s="26" t="s">
        <v>20</v>
      </c>
      <c r="D67" s="27">
        <v>155.0</v>
      </c>
      <c r="E67" s="28">
        <v>3.1171795E8</v>
      </c>
      <c r="F67" s="27">
        <v>0.0</v>
      </c>
      <c r="G67" s="28">
        <v>0.0</v>
      </c>
      <c r="H67" s="27">
        <v>155.0</v>
      </c>
      <c r="I67" s="28">
        <v>3.1171795E8</v>
      </c>
      <c r="J67" s="29">
        <f t="shared" si="2"/>
        <v>2011083.548</v>
      </c>
      <c r="K67" s="30">
        <f t="shared" ref="K67:L67" si="65">H67/12</f>
        <v>12.91666667</v>
      </c>
      <c r="L67" s="31">
        <f t="shared" si="65"/>
        <v>25976495.83</v>
      </c>
      <c r="M67" s="37">
        <v>0.0</v>
      </c>
      <c r="N67" s="33">
        <f t="shared" si="4"/>
        <v>38.75</v>
      </c>
      <c r="O67" s="34">
        <f t="shared" si="5"/>
        <v>38.75</v>
      </c>
      <c r="P67" s="35">
        <f t="shared" si="6"/>
        <v>38.75</v>
      </c>
      <c r="Q67" s="36"/>
      <c r="R67" s="14"/>
      <c r="S67" s="14"/>
      <c r="T67" s="14"/>
      <c r="U67" s="14"/>
      <c r="V67" s="14"/>
      <c r="W67" s="14"/>
      <c r="X67" s="14"/>
      <c r="Y67" s="14"/>
      <c r="Z67" s="14"/>
    </row>
    <row r="68" ht="12.75" customHeight="1">
      <c r="A68" s="26" t="s">
        <v>91</v>
      </c>
      <c r="B68" s="26" t="s">
        <v>48</v>
      </c>
      <c r="C68" s="26" t="s">
        <v>20</v>
      </c>
      <c r="D68" s="27">
        <v>206.0</v>
      </c>
      <c r="E68" s="28">
        <v>3.09701154E8</v>
      </c>
      <c r="F68" s="27">
        <v>0.0</v>
      </c>
      <c r="G68" s="28">
        <v>0.0</v>
      </c>
      <c r="H68" s="27">
        <v>206.0</v>
      </c>
      <c r="I68" s="28">
        <v>3.09701154E8</v>
      </c>
      <c r="J68" s="29">
        <f t="shared" si="2"/>
        <v>1503403.66</v>
      </c>
      <c r="K68" s="30">
        <f t="shared" ref="K68:L68" si="66">H68/12</f>
        <v>17.16666667</v>
      </c>
      <c r="L68" s="31">
        <f t="shared" si="66"/>
        <v>25808429.5</v>
      </c>
      <c r="M68" s="32">
        <v>181.0</v>
      </c>
      <c r="N68" s="33">
        <f t="shared" si="4"/>
        <v>51.5</v>
      </c>
      <c r="O68" s="34">
        <f t="shared" si="5"/>
        <v>-129.5</v>
      </c>
      <c r="P68" s="35" t="str">
        <f t="shared" si="6"/>
        <v/>
      </c>
      <c r="Q68" s="36"/>
      <c r="R68" s="14"/>
      <c r="S68" s="14"/>
      <c r="T68" s="14"/>
      <c r="U68" s="14"/>
      <c r="V68" s="14"/>
      <c r="W68" s="14"/>
      <c r="X68" s="14"/>
      <c r="Y68" s="14"/>
      <c r="Z68" s="14"/>
    </row>
    <row r="69" ht="12.75" customHeight="1">
      <c r="A69" s="26" t="s">
        <v>92</v>
      </c>
      <c r="B69" s="26" t="s">
        <v>93</v>
      </c>
      <c r="C69" s="26" t="s">
        <v>20</v>
      </c>
      <c r="D69" s="27">
        <v>411.0</v>
      </c>
      <c r="E69" s="28">
        <v>3.075948E8</v>
      </c>
      <c r="F69" s="27">
        <v>0.0</v>
      </c>
      <c r="G69" s="28">
        <v>0.0</v>
      </c>
      <c r="H69" s="27">
        <v>411.0</v>
      </c>
      <c r="I69" s="28">
        <v>3.075948E8</v>
      </c>
      <c r="J69" s="29">
        <f t="shared" si="2"/>
        <v>748405.8394</v>
      </c>
      <c r="K69" s="30">
        <f t="shared" ref="K69:L69" si="67">H69/12</f>
        <v>34.25</v>
      </c>
      <c r="L69" s="31">
        <f t="shared" si="67"/>
        <v>25632900</v>
      </c>
      <c r="M69" s="37">
        <v>0.0</v>
      </c>
      <c r="N69" s="33">
        <f t="shared" si="4"/>
        <v>102.75</v>
      </c>
      <c r="O69" s="34">
        <f t="shared" si="5"/>
        <v>102.75</v>
      </c>
      <c r="P69" s="35">
        <f t="shared" si="6"/>
        <v>102.75</v>
      </c>
      <c r="Q69" s="36"/>
      <c r="R69" s="14"/>
      <c r="S69" s="14"/>
      <c r="T69" s="14"/>
      <c r="U69" s="14"/>
      <c r="V69" s="14"/>
      <c r="W69" s="14"/>
      <c r="X69" s="14"/>
      <c r="Y69" s="14"/>
      <c r="Z69" s="14"/>
    </row>
    <row r="70" ht="12.75" customHeight="1">
      <c r="A70" s="26" t="s">
        <v>94</v>
      </c>
      <c r="B70" s="26" t="s">
        <v>48</v>
      </c>
      <c r="C70" s="26" t="s">
        <v>20</v>
      </c>
      <c r="D70" s="27">
        <v>180.0</v>
      </c>
      <c r="E70" s="28">
        <v>3.071634E8</v>
      </c>
      <c r="F70" s="27">
        <v>0.0</v>
      </c>
      <c r="G70" s="28">
        <v>0.0</v>
      </c>
      <c r="H70" s="27">
        <v>180.0</v>
      </c>
      <c r="I70" s="28">
        <v>3.071634E8</v>
      </c>
      <c r="J70" s="29">
        <f t="shared" si="2"/>
        <v>1706463.333</v>
      </c>
      <c r="K70" s="30">
        <f t="shared" ref="K70:L70" si="68">H70/12</f>
        <v>15</v>
      </c>
      <c r="L70" s="31">
        <f t="shared" si="68"/>
        <v>25596950</v>
      </c>
      <c r="M70" s="37">
        <v>264.0</v>
      </c>
      <c r="N70" s="33">
        <f t="shared" si="4"/>
        <v>45</v>
      </c>
      <c r="O70" s="34">
        <f t="shared" si="5"/>
        <v>-219</v>
      </c>
      <c r="P70" s="35" t="str">
        <f t="shared" si="6"/>
        <v/>
      </c>
      <c r="Q70" s="36"/>
      <c r="R70" s="14"/>
      <c r="S70" s="14"/>
      <c r="T70" s="14"/>
      <c r="U70" s="14"/>
      <c r="V70" s="14"/>
      <c r="W70" s="14"/>
      <c r="X70" s="14"/>
      <c r="Y70" s="14"/>
      <c r="Z70" s="14"/>
    </row>
    <row r="71" ht="12.75" customHeight="1">
      <c r="A71" s="26" t="s">
        <v>95</v>
      </c>
      <c r="B71" s="26" t="s">
        <v>25</v>
      </c>
      <c r="C71" s="26" t="s">
        <v>20</v>
      </c>
      <c r="D71" s="27">
        <v>501.0</v>
      </c>
      <c r="E71" s="28">
        <v>3.047697E8</v>
      </c>
      <c r="F71" s="27">
        <v>0.0</v>
      </c>
      <c r="G71" s="28">
        <v>0.0</v>
      </c>
      <c r="H71" s="27">
        <v>501.0</v>
      </c>
      <c r="I71" s="28">
        <v>3.047697E8</v>
      </c>
      <c r="J71" s="29">
        <f t="shared" si="2"/>
        <v>608322.7545</v>
      </c>
      <c r="K71" s="30">
        <f t="shared" ref="K71:L71" si="69">H71/12</f>
        <v>41.75</v>
      </c>
      <c r="L71" s="31">
        <f t="shared" si="69"/>
        <v>25397475</v>
      </c>
      <c r="M71" s="37">
        <v>0.0</v>
      </c>
      <c r="N71" s="33">
        <f t="shared" si="4"/>
        <v>125.25</v>
      </c>
      <c r="O71" s="34">
        <f t="shared" si="5"/>
        <v>125.25</v>
      </c>
      <c r="P71" s="35">
        <f t="shared" si="6"/>
        <v>125.25</v>
      </c>
      <c r="Q71" s="36"/>
      <c r="R71" s="14"/>
      <c r="S71" s="14"/>
      <c r="T71" s="14"/>
      <c r="U71" s="14"/>
      <c r="V71" s="14"/>
      <c r="W71" s="14"/>
      <c r="X71" s="14"/>
      <c r="Y71" s="14"/>
      <c r="Z71" s="14"/>
    </row>
    <row r="72" ht="12.75" customHeight="1">
      <c r="A72" s="26" t="s">
        <v>96</v>
      </c>
      <c r="B72" s="26" t="s">
        <v>46</v>
      </c>
      <c r="C72" s="26" t="s">
        <v>20</v>
      </c>
      <c r="D72" s="27">
        <v>93.0</v>
      </c>
      <c r="E72" s="28">
        <v>2.988646E8</v>
      </c>
      <c r="F72" s="27">
        <v>0.0</v>
      </c>
      <c r="G72" s="28">
        <v>0.0</v>
      </c>
      <c r="H72" s="27">
        <v>93.0</v>
      </c>
      <c r="I72" s="28">
        <v>2.988646E8</v>
      </c>
      <c r="J72" s="29">
        <f t="shared" si="2"/>
        <v>3213597.849</v>
      </c>
      <c r="K72" s="30">
        <f t="shared" ref="K72:L72" si="70">H72/12</f>
        <v>7.75</v>
      </c>
      <c r="L72" s="31">
        <f t="shared" si="70"/>
        <v>24905383.33</v>
      </c>
      <c r="M72" s="32">
        <v>0.0</v>
      </c>
      <c r="N72" s="33">
        <f t="shared" si="4"/>
        <v>23.25</v>
      </c>
      <c r="O72" s="34">
        <f t="shared" si="5"/>
        <v>23.25</v>
      </c>
      <c r="P72" s="35">
        <f t="shared" si="6"/>
        <v>23.25</v>
      </c>
      <c r="Q72" s="36"/>
      <c r="R72" s="14"/>
      <c r="S72" s="14"/>
      <c r="T72" s="14"/>
      <c r="U72" s="14"/>
      <c r="V72" s="14"/>
      <c r="W72" s="14"/>
      <c r="X72" s="14"/>
      <c r="Y72" s="14"/>
      <c r="Z72" s="14"/>
    </row>
    <row r="73" ht="12.75" customHeight="1">
      <c r="A73" s="26" t="s">
        <v>97</v>
      </c>
      <c r="B73" s="26" t="s">
        <v>48</v>
      </c>
      <c r="C73" s="26" t="s">
        <v>20</v>
      </c>
      <c r="D73" s="27">
        <v>212.0</v>
      </c>
      <c r="E73" s="28">
        <v>2.95118E8</v>
      </c>
      <c r="F73" s="27">
        <v>0.0</v>
      </c>
      <c r="G73" s="28">
        <v>0.0</v>
      </c>
      <c r="H73" s="27">
        <v>212.0</v>
      </c>
      <c r="I73" s="28">
        <v>2.95118E8</v>
      </c>
      <c r="J73" s="29">
        <f t="shared" si="2"/>
        <v>1392066.038</v>
      </c>
      <c r="K73" s="30">
        <f t="shared" ref="K73:L73" si="71">H73/12</f>
        <v>17.66666667</v>
      </c>
      <c r="L73" s="31">
        <f t="shared" si="71"/>
        <v>24593166.67</v>
      </c>
      <c r="M73" s="37">
        <v>1.0</v>
      </c>
      <c r="N73" s="33">
        <f t="shared" si="4"/>
        <v>53</v>
      </c>
      <c r="O73" s="34">
        <f t="shared" si="5"/>
        <v>52</v>
      </c>
      <c r="P73" s="35">
        <f t="shared" si="6"/>
        <v>52</v>
      </c>
      <c r="Q73" s="36"/>
      <c r="R73" s="14"/>
      <c r="S73" s="14"/>
      <c r="T73" s="14"/>
      <c r="U73" s="14"/>
      <c r="V73" s="14"/>
      <c r="W73" s="14"/>
      <c r="X73" s="14"/>
      <c r="Y73" s="14"/>
      <c r="Z73" s="14"/>
    </row>
    <row r="74" ht="12.75" customHeight="1">
      <c r="A74" s="26" t="s">
        <v>98</v>
      </c>
      <c r="B74" s="26" t="s">
        <v>56</v>
      </c>
      <c r="C74" s="26" t="s">
        <v>20</v>
      </c>
      <c r="D74" s="27">
        <v>357.0</v>
      </c>
      <c r="E74" s="28">
        <v>2.921782E8</v>
      </c>
      <c r="F74" s="27">
        <v>0.0</v>
      </c>
      <c r="G74" s="28">
        <v>0.0</v>
      </c>
      <c r="H74" s="27">
        <v>357.0</v>
      </c>
      <c r="I74" s="28">
        <v>2.921782E8</v>
      </c>
      <c r="J74" s="29">
        <f t="shared" si="2"/>
        <v>818426.3305</v>
      </c>
      <c r="K74" s="30">
        <f t="shared" ref="K74:L74" si="72">H74/12</f>
        <v>29.75</v>
      </c>
      <c r="L74" s="31">
        <f t="shared" si="72"/>
        <v>24348183.33</v>
      </c>
      <c r="M74" s="32">
        <v>21.0</v>
      </c>
      <c r="N74" s="33">
        <f t="shared" si="4"/>
        <v>89.25</v>
      </c>
      <c r="O74" s="34">
        <f t="shared" si="5"/>
        <v>68.25</v>
      </c>
      <c r="P74" s="35">
        <f t="shared" si="6"/>
        <v>68.25</v>
      </c>
      <c r="Q74" s="36"/>
      <c r="R74" s="14"/>
      <c r="S74" s="14"/>
      <c r="T74" s="14"/>
      <c r="U74" s="14"/>
      <c r="V74" s="14"/>
      <c r="W74" s="14"/>
      <c r="X74" s="14"/>
      <c r="Y74" s="14"/>
      <c r="Z74" s="14"/>
    </row>
    <row r="75" ht="12.75" customHeight="1">
      <c r="A75" s="26" t="s">
        <v>99</v>
      </c>
      <c r="B75" s="26" t="s">
        <v>56</v>
      </c>
      <c r="C75" s="26" t="s">
        <v>20</v>
      </c>
      <c r="D75" s="27">
        <v>303.0</v>
      </c>
      <c r="E75" s="28">
        <v>2.8796325E8</v>
      </c>
      <c r="F75" s="27">
        <v>0.0</v>
      </c>
      <c r="G75" s="28">
        <v>0.0</v>
      </c>
      <c r="H75" s="27">
        <v>303.0</v>
      </c>
      <c r="I75" s="28">
        <v>2.8796325E8</v>
      </c>
      <c r="J75" s="29">
        <f t="shared" si="2"/>
        <v>950373.7624</v>
      </c>
      <c r="K75" s="30">
        <f t="shared" ref="K75:L75" si="73">H75/12</f>
        <v>25.25</v>
      </c>
      <c r="L75" s="31">
        <f t="shared" si="73"/>
        <v>23996937.5</v>
      </c>
      <c r="M75" s="32">
        <v>51.0</v>
      </c>
      <c r="N75" s="33">
        <f t="shared" si="4"/>
        <v>75.75</v>
      </c>
      <c r="O75" s="34">
        <f t="shared" si="5"/>
        <v>24.75</v>
      </c>
      <c r="P75" s="35">
        <f t="shared" si="6"/>
        <v>24.75</v>
      </c>
      <c r="Q75" s="36"/>
      <c r="R75" s="14"/>
      <c r="S75" s="14"/>
      <c r="T75" s="14"/>
      <c r="U75" s="14"/>
      <c r="V75" s="14"/>
      <c r="W75" s="14"/>
      <c r="X75" s="14"/>
      <c r="Y75" s="14"/>
      <c r="Z75" s="14"/>
    </row>
    <row r="76" ht="12.75" customHeight="1">
      <c r="A76" s="26" t="s">
        <v>100</v>
      </c>
      <c r="B76" s="26" t="s">
        <v>31</v>
      </c>
      <c r="C76" s="26" t="s">
        <v>20</v>
      </c>
      <c r="D76" s="27">
        <v>326.0</v>
      </c>
      <c r="E76" s="28">
        <v>2.8662795E8</v>
      </c>
      <c r="F76" s="27">
        <v>0.0</v>
      </c>
      <c r="G76" s="28">
        <v>0.0</v>
      </c>
      <c r="H76" s="27">
        <v>326.0</v>
      </c>
      <c r="I76" s="28">
        <v>2.8662795E8</v>
      </c>
      <c r="J76" s="29">
        <f t="shared" si="2"/>
        <v>879226.8405</v>
      </c>
      <c r="K76" s="30">
        <f t="shared" ref="K76:L76" si="74">H76/12</f>
        <v>27.16666667</v>
      </c>
      <c r="L76" s="31">
        <f t="shared" si="74"/>
        <v>23885662.5</v>
      </c>
      <c r="M76" s="37">
        <v>0.0</v>
      </c>
      <c r="N76" s="33">
        <f t="shared" si="4"/>
        <v>81.5</v>
      </c>
      <c r="O76" s="34">
        <f t="shared" si="5"/>
        <v>81.5</v>
      </c>
      <c r="P76" s="35">
        <f t="shared" si="6"/>
        <v>81.5</v>
      </c>
      <c r="Q76" s="36"/>
      <c r="R76" s="14"/>
      <c r="S76" s="14"/>
      <c r="T76" s="14"/>
      <c r="U76" s="14"/>
      <c r="V76" s="14"/>
      <c r="W76" s="14"/>
      <c r="X76" s="14"/>
      <c r="Y76" s="14"/>
      <c r="Z76" s="14"/>
    </row>
    <row r="77" ht="12.75" customHeight="1">
      <c r="A77" s="26" t="s">
        <v>101</v>
      </c>
      <c r="B77" s="26" t="s">
        <v>46</v>
      </c>
      <c r="C77" s="26" t="s">
        <v>20</v>
      </c>
      <c r="D77" s="27">
        <v>137.0</v>
      </c>
      <c r="E77" s="28">
        <v>2.725768E8</v>
      </c>
      <c r="F77" s="27">
        <v>0.0</v>
      </c>
      <c r="G77" s="28">
        <v>0.0</v>
      </c>
      <c r="H77" s="27">
        <v>137.0</v>
      </c>
      <c r="I77" s="28">
        <v>2.725768E8</v>
      </c>
      <c r="J77" s="29">
        <f t="shared" si="2"/>
        <v>1989611.679</v>
      </c>
      <c r="K77" s="30">
        <f t="shared" ref="K77:L77" si="75">H77/12</f>
        <v>11.41666667</v>
      </c>
      <c r="L77" s="31">
        <f t="shared" si="75"/>
        <v>22714733.33</v>
      </c>
      <c r="M77" s="32">
        <v>0.0</v>
      </c>
      <c r="N77" s="33">
        <f t="shared" si="4"/>
        <v>34.25</v>
      </c>
      <c r="O77" s="34">
        <f t="shared" si="5"/>
        <v>34.25</v>
      </c>
      <c r="P77" s="35">
        <f t="shared" si="6"/>
        <v>34.25</v>
      </c>
      <c r="Q77" s="36"/>
      <c r="R77" s="14"/>
      <c r="S77" s="14"/>
      <c r="T77" s="14"/>
      <c r="U77" s="14"/>
      <c r="V77" s="14"/>
      <c r="W77" s="14"/>
      <c r="X77" s="14"/>
      <c r="Y77" s="14"/>
      <c r="Z77" s="14"/>
    </row>
    <row r="78" ht="12.75" customHeight="1">
      <c r="A78" s="26" t="s">
        <v>102</v>
      </c>
      <c r="B78" s="26" t="s">
        <v>19</v>
      </c>
      <c r="C78" s="26" t="s">
        <v>20</v>
      </c>
      <c r="D78" s="27">
        <v>328.0</v>
      </c>
      <c r="E78" s="28">
        <v>2.66363725E8</v>
      </c>
      <c r="F78" s="27">
        <v>0.0</v>
      </c>
      <c r="G78" s="28">
        <v>0.0</v>
      </c>
      <c r="H78" s="27">
        <v>328.0</v>
      </c>
      <c r="I78" s="28">
        <v>2.66363725E8</v>
      </c>
      <c r="J78" s="29">
        <f t="shared" si="2"/>
        <v>812084.5274</v>
      </c>
      <c r="K78" s="30">
        <f t="shared" ref="K78:L78" si="76">H78/12</f>
        <v>27.33333333</v>
      </c>
      <c r="L78" s="31">
        <f t="shared" si="76"/>
        <v>22196977.08</v>
      </c>
      <c r="M78" s="32">
        <v>0.0</v>
      </c>
      <c r="N78" s="33">
        <f t="shared" si="4"/>
        <v>82</v>
      </c>
      <c r="O78" s="34">
        <f t="shared" si="5"/>
        <v>82</v>
      </c>
      <c r="P78" s="35">
        <f t="shared" si="6"/>
        <v>82</v>
      </c>
      <c r="Q78" s="36"/>
      <c r="R78" s="14"/>
      <c r="S78" s="14"/>
      <c r="T78" s="14"/>
      <c r="U78" s="14"/>
      <c r="V78" s="14"/>
      <c r="W78" s="14"/>
      <c r="X78" s="14"/>
      <c r="Y78" s="14"/>
      <c r="Z78" s="14"/>
    </row>
    <row r="79" ht="12.75" customHeight="1">
      <c r="A79" s="26" t="s">
        <v>103</v>
      </c>
      <c r="B79" s="26" t="s">
        <v>56</v>
      </c>
      <c r="C79" s="26" t="s">
        <v>20</v>
      </c>
      <c r="D79" s="27">
        <v>310.0</v>
      </c>
      <c r="E79" s="28">
        <v>2.6623735E8</v>
      </c>
      <c r="F79" s="27">
        <v>0.0</v>
      </c>
      <c r="G79" s="28">
        <v>0.0</v>
      </c>
      <c r="H79" s="27">
        <v>310.0</v>
      </c>
      <c r="I79" s="28">
        <v>2.6623735E8</v>
      </c>
      <c r="J79" s="29">
        <f t="shared" si="2"/>
        <v>858830.1613</v>
      </c>
      <c r="K79" s="30">
        <f t="shared" ref="K79:L79" si="77">H79/12</f>
        <v>25.83333333</v>
      </c>
      <c r="L79" s="31">
        <f t="shared" si="77"/>
        <v>22186445.83</v>
      </c>
      <c r="M79" s="32">
        <v>182.0</v>
      </c>
      <c r="N79" s="33">
        <f t="shared" si="4"/>
        <v>77.5</v>
      </c>
      <c r="O79" s="34">
        <f t="shared" si="5"/>
        <v>-104.5</v>
      </c>
      <c r="P79" s="35" t="str">
        <f t="shared" si="6"/>
        <v/>
      </c>
      <c r="Q79" s="36"/>
      <c r="R79" s="14"/>
      <c r="S79" s="14"/>
      <c r="T79" s="14"/>
      <c r="U79" s="14"/>
      <c r="V79" s="14"/>
      <c r="W79" s="14"/>
      <c r="X79" s="14"/>
      <c r="Y79" s="14"/>
      <c r="Z79" s="14"/>
    </row>
    <row r="80" ht="12.75" customHeight="1">
      <c r="A80" s="26" t="s">
        <v>104</v>
      </c>
      <c r="B80" s="26" t="s">
        <v>48</v>
      </c>
      <c r="C80" s="26" t="s">
        <v>20</v>
      </c>
      <c r="D80" s="27">
        <v>188.0</v>
      </c>
      <c r="E80" s="28">
        <v>2.652221E8</v>
      </c>
      <c r="F80" s="27">
        <v>0.0</v>
      </c>
      <c r="G80" s="28">
        <v>0.0</v>
      </c>
      <c r="H80" s="27">
        <v>188.0</v>
      </c>
      <c r="I80" s="28">
        <v>2.652221E8</v>
      </c>
      <c r="J80" s="29">
        <f t="shared" si="2"/>
        <v>1410755.851</v>
      </c>
      <c r="K80" s="30">
        <f t="shared" ref="K80:L80" si="78">H80/12</f>
        <v>15.66666667</v>
      </c>
      <c r="L80" s="31">
        <f t="shared" si="78"/>
        <v>22101841.67</v>
      </c>
      <c r="M80" s="37">
        <v>7.0</v>
      </c>
      <c r="N80" s="33">
        <f t="shared" si="4"/>
        <v>47</v>
      </c>
      <c r="O80" s="34">
        <f t="shared" si="5"/>
        <v>40</v>
      </c>
      <c r="P80" s="35">
        <f t="shared" si="6"/>
        <v>40</v>
      </c>
      <c r="Q80" s="36"/>
      <c r="R80" s="14"/>
      <c r="S80" s="14"/>
      <c r="T80" s="14"/>
      <c r="U80" s="14"/>
      <c r="V80" s="14"/>
      <c r="W80" s="14"/>
      <c r="X80" s="14"/>
      <c r="Y80" s="14"/>
      <c r="Z80" s="14"/>
    </row>
    <row r="81" ht="12.75" customHeight="1">
      <c r="A81" s="26" t="s">
        <v>105</v>
      </c>
      <c r="B81" s="26" t="s">
        <v>22</v>
      </c>
      <c r="C81" s="26" t="s">
        <v>20</v>
      </c>
      <c r="D81" s="27">
        <v>163.0</v>
      </c>
      <c r="E81" s="28">
        <v>2.59837E8</v>
      </c>
      <c r="F81" s="27">
        <v>0.0</v>
      </c>
      <c r="G81" s="28">
        <v>0.0</v>
      </c>
      <c r="H81" s="27">
        <v>163.0</v>
      </c>
      <c r="I81" s="28">
        <v>2.59837E8</v>
      </c>
      <c r="J81" s="29">
        <f t="shared" si="2"/>
        <v>1594092.025</v>
      </c>
      <c r="K81" s="30">
        <f t="shared" ref="K81:L81" si="79">H81/12</f>
        <v>13.58333333</v>
      </c>
      <c r="L81" s="31">
        <f t="shared" si="79"/>
        <v>21653083.33</v>
      </c>
      <c r="M81" s="32">
        <v>0.0</v>
      </c>
      <c r="N81" s="33">
        <f t="shared" si="4"/>
        <v>40.75</v>
      </c>
      <c r="O81" s="34">
        <f t="shared" si="5"/>
        <v>40.75</v>
      </c>
      <c r="P81" s="35">
        <f t="shared" si="6"/>
        <v>40.75</v>
      </c>
      <c r="Q81" s="36"/>
      <c r="R81" s="14"/>
      <c r="S81" s="14"/>
      <c r="T81" s="14"/>
      <c r="U81" s="14"/>
      <c r="V81" s="14"/>
      <c r="W81" s="14"/>
      <c r="X81" s="14"/>
      <c r="Y81" s="14"/>
      <c r="Z81" s="14"/>
    </row>
    <row r="82" ht="12.75" customHeight="1">
      <c r="A82" s="26" t="s">
        <v>106</v>
      </c>
      <c r="B82" s="26" t="s">
        <v>35</v>
      </c>
      <c r="C82" s="26" t="s">
        <v>36</v>
      </c>
      <c r="D82" s="27">
        <v>1853.0</v>
      </c>
      <c r="E82" s="28">
        <v>2.5445635E8</v>
      </c>
      <c r="F82" s="27">
        <v>0.0</v>
      </c>
      <c r="G82" s="28">
        <v>0.0</v>
      </c>
      <c r="H82" s="27">
        <v>1853.0</v>
      </c>
      <c r="I82" s="28">
        <v>2.5445635E8</v>
      </c>
      <c r="J82" s="29">
        <f t="shared" si="2"/>
        <v>137321.2898</v>
      </c>
      <c r="K82" s="30">
        <f t="shared" ref="K82:L82" si="80">H82/12</f>
        <v>154.4166667</v>
      </c>
      <c r="L82" s="31">
        <f t="shared" si="80"/>
        <v>21204695.83</v>
      </c>
      <c r="M82" s="37">
        <v>2213.0</v>
      </c>
      <c r="N82" s="33">
        <f t="shared" si="4"/>
        <v>463.25</v>
      </c>
      <c r="O82" s="34">
        <f t="shared" si="5"/>
        <v>-1749.75</v>
      </c>
      <c r="P82" s="35" t="str">
        <f t="shared" si="6"/>
        <v/>
      </c>
      <c r="Q82" s="36"/>
      <c r="R82" s="14"/>
      <c r="S82" s="14"/>
      <c r="T82" s="14"/>
      <c r="U82" s="14"/>
      <c r="V82" s="14"/>
      <c r="W82" s="14"/>
      <c r="X82" s="14"/>
      <c r="Y82" s="14"/>
      <c r="Z82" s="14"/>
    </row>
    <row r="83" ht="12.75" customHeight="1">
      <c r="A83" s="26" t="s">
        <v>107</v>
      </c>
      <c r="B83" s="26" t="s">
        <v>19</v>
      </c>
      <c r="C83" s="26" t="s">
        <v>20</v>
      </c>
      <c r="D83" s="27">
        <v>269.0</v>
      </c>
      <c r="E83" s="28">
        <v>2.496266E8</v>
      </c>
      <c r="F83" s="27">
        <v>0.0</v>
      </c>
      <c r="G83" s="28">
        <v>0.0</v>
      </c>
      <c r="H83" s="27">
        <v>269.0</v>
      </c>
      <c r="I83" s="28">
        <v>2.496266E8</v>
      </c>
      <c r="J83" s="29">
        <f t="shared" si="2"/>
        <v>927979.9257</v>
      </c>
      <c r="K83" s="30">
        <f t="shared" ref="K83:L83" si="81">H83/12</f>
        <v>22.41666667</v>
      </c>
      <c r="L83" s="31">
        <f t="shared" si="81"/>
        <v>20802216.67</v>
      </c>
      <c r="M83" s="37">
        <v>0.0</v>
      </c>
      <c r="N83" s="33">
        <f t="shared" si="4"/>
        <v>67.25</v>
      </c>
      <c r="O83" s="34">
        <f t="shared" si="5"/>
        <v>67.25</v>
      </c>
      <c r="P83" s="35">
        <f t="shared" si="6"/>
        <v>67.25</v>
      </c>
      <c r="Q83" s="36"/>
      <c r="R83" s="14"/>
      <c r="S83" s="14"/>
      <c r="T83" s="14"/>
      <c r="U83" s="14"/>
      <c r="V83" s="14"/>
      <c r="W83" s="14"/>
      <c r="X83" s="14"/>
      <c r="Y83" s="14"/>
      <c r="Z83" s="14"/>
    </row>
    <row r="84" ht="12.75" customHeight="1">
      <c r="A84" s="26" t="s">
        <v>108</v>
      </c>
      <c r="B84" s="26" t="s">
        <v>46</v>
      </c>
      <c r="C84" s="26" t="s">
        <v>20</v>
      </c>
      <c r="D84" s="27">
        <v>100.0</v>
      </c>
      <c r="E84" s="28">
        <v>2.489619E8</v>
      </c>
      <c r="F84" s="27">
        <v>0.0</v>
      </c>
      <c r="G84" s="28">
        <v>0.0</v>
      </c>
      <c r="H84" s="27">
        <v>100.0</v>
      </c>
      <c r="I84" s="28">
        <v>2.489619E8</v>
      </c>
      <c r="J84" s="29">
        <f t="shared" si="2"/>
        <v>2489619</v>
      </c>
      <c r="K84" s="30">
        <f t="shared" ref="K84:L84" si="82">H84/12</f>
        <v>8.333333333</v>
      </c>
      <c r="L84" s="31">
        <f t="shared" si="82"/>
        <v>20746825</v>
      </c>
      <c r="M84" s="37">
        <v>54.0</v>
      </c>
      <c r="N84" s="33">
        <f t="shared" si="4"/>
        <v>25</v>
      </c>
      <c r="O84" s="34">
        <f t="shared" si="5"/>
        <v>-29</v>
      </c>
      <c r="P84" s="35" t="str">
        <f t="shared" si="6"/>
        <v/>
      </c>
      <c r="Q84" s="36"/>
      <c r="R84" s="14"/>
      <c r="S84" s="14"/>
      <c r="T84" s="14"/>
      <c r="U84" s="14"/>
      <c r="V84" s="14"/>
      <c r="W84" s="14"/>
      <c r="X84" s="14"/>
      <c r="Y84" s="14"/>
      <c r="Z84" s="14"/>
    </row>
    <row r="85" ht="12.75" customHeight="1">
      <c r="A85" s="26" t="s">
        <v>109</v>
      </c>
      <c r="B85" s="26" t="s">
        <v>31</v>
      </c>
      <c r="C85" s="26" t="s">
        <v>20</v>
      </c>
      <c r="D85" s="27">
        <v>314.0</v>
      </c>
      <c r="E85" s="28">
        <v>2.469261E8</v>
      </c>
      <c r="F85" s="27">
        <v>0.0</v>
      </c>
      <c r="G85" s="28">
        <v>0.0</v>
      </c>
      <c r="H85" s="27">
        <v>314.0</v>
      </c>
      <c r="I85" s="28">
        <v>2.469261E8</v>
      </c>
      <c r="J85" s="29">
        <f t="shared" si="2"/>
        <v>786388.8535</v>
      </c>
      <c r="K85" s="30">
        <f t="shared" ref="K85:L85" si="83">H85/12</f>
        <v>26.16666667</v>
      </c>
      <c r="L85" s="31">
        <f t="shared" si="83"/>
        <v>20577175</v>
      </c>
      <c r="M85" s="37">
        <v>0.0</v>
      </c>
      <c r="N85" s="33">
        <f t="shared" si="4"/>
        <v>78.5</v>
      </c>
      <c r="O85" s="34">
        <f t="shared" si="5"/>
        <v>78.5</v>
      </c>
      <c r="P85" s="35">
        <f t="shared" si="6"/>
        <v>78.5</v>
      </c>
      <c r="Q85" s="36"/>
      <c r="R85" s="14"/>
      <c r="S85" s="14"/>
      <c r="T85" s="14"/>
      <c r="U85" s="14"/>
      <c r="V85" s="14"/>
      <c r="W85" s="14"/>
      <c r="X85" s="14"/>
      <c r="Y85" s="14"/>
      <c r="Z85" s="14"/>
    </row>
    <row r="86" ht="12.75" customHeight="1">
      <c r="A86" s="26" t="s">
        <v>110</v>
      </c>
      <c r="B86" s="26" t="s">
        <v>31</v>
      </c>
      <c r="C86" s="26" t="s">
        <v>20</v>
      </c>
      <c r="D86" s="27">
        <v>266.0</v>
      </c>
      <c r="E86" s="28">
        <v>2.435687E8</v>
      </c>
      <c r="F86" s="27">
        <v>0.0</v>
      </c>
      <c r="G86" s="28">
        <v>0.0</v>
      </c>
      <c r="H86" s="27">
        <v>266.0</v>
      </c>
      <c r="I86" s="28">
        <v>2.435687E8</v>
      </c>
      <c r="J86" s="29">
        <f t="shared" si="2"/>
        <v>915671.8045</v>
      </c>
      <c r="K86" s="30">
        <f t="shared" ref="K86:L86" si="84">H86/12</f>
        <v>22.16666667</v>
      </c>
      <c r="L86" s="31">
        <f t="shared" si="84"/>
        <v>20297391.67</v>
      </c>
      <c r="M86" s="37">
        <v>17.0</v>
      </c>
      <c r="N86" s="33">
        <f t="shared" si="4"/>
        <v>66.5</v>
      </c>
      <c r="O86" s="34">
        <f t="shared" si="5"/>
        <v>49.5</v>
      </c>
      <c r="P86" s="35">
        <f t="shared" si="6"/>
        <v>49.5</v>
      </c>
      <c r="Q86" s="36"/>
      <c r="R86" s="14"/>
      <c r="S86" s="14"/>
      <c r="T86" s="14"/>
      <c r="U86" s="14"/>
      <c r="V86" s="14"/>
      <c r="W86" s="14"/>
      <c r="X86" s="14"/>
      <c r="Y86" s="14"/>
      <c r="Z86" s="14"/>
    </row>
    <row r="87" ht="12.75" customHeight="1">
      <c r="A87" s="26" t="s">
        <v>111</v>
      </c>
      <c r="B87" s="26" t="s">
        <v>31</v>
      </c>
      <c r="C87" s="26" t="s">
        <v>20</v>
      </c>
      <c r="D87" s="27">
        <v>190.0</v>
      </c>
      <c r="E87" s="28">
        <v>2.4023925E8</v>
      </c>
      <c r="F87" s="27">
        <v>0.0</v>
      </c>
      <c r="G87" s="28">
        <v>0.0</v>
      </c>
      <c r="H87" s="27">
        <v>190.0</v>
      </c>
      <c r="I87" s="28">
        <v>2.4023925E8</v>
      </c>
      <c r="J87" s="29">
        <f t="shared" si="2"/>
        <v>1264417.105</v>
      </c>
      <c r="K87" s="30">
        <f t="shared" ref="K87:L87" si="85">H87/12</f>
        <v>15.83333333</v>
      </c>
      <c r="L87" s="31">
        <f t="shared" si="85"/>
        <v>20019937.5</v>
      </c>
      <c r="M87" s="32">
        <v>23.0</v>
      </c>
      <c r="N87" s="33">
        <f t="shared" si="4"/>
        <v>47.5</v>
      </c>
      <c r="O87" s="34">
        <f t="shared" si="5"/>
        <v>24.5</v>
      </c>
      <c r="P87" s="35">
        <f t="shared" si="6"/>
        <v>24.5</v>
      </c>
      <c r="Q87" s="36"/>
      <c r="R87" s="14"/>
      <c r="S87" s="14"/>
      <c r="T87" s="14"/>
      <c r="U87" s="14"/>
      <c r="V87" s="14"/>
      <c r="W87" s="14"/>
      <c r="X87" s="14"/>
      <c r="Y87" s="14"/>
      <c r="Z87" s="14"/>
    </row>
    <row r="88" ht="12.75" customHeight="1">
      <c r="A88" s="26" t="s">
        <v>112</v>
      </c>
      <c r="B88" s="26" t="s">
        <v>48</v>
      </c>
      <c r="C88" s="26" t="s">
        <v>20</v>
      </c>
      <c r="D88" s="27">
        <v>124.0</v>
      </c>
      <c r="E88" s="28">
        <v>2.401815E8</v>
      </c>
      <c r="F88" s="27">
        <v>0.0</v>
      </c>
      <c r="G88" s="28">
        <v>0.0</v>
      </c>
      <c r="H88" s="27">
        <v>124.0</v>
      </c>
      <c r="I88" s="28">
        <v>2.401815E8</v>
      </c>
      <c r="J88" s="29">
        <f t="shared" si="2"/>
        <v>1936947.581</v>
      </c>
      <c r="K88" s="30">
        <f t="shared" ref="K88:L88" si="86">H88/12</f>
        <v>10.33333333</v>
      </c>
      <c r="L88" s="31">
        <f t="shared" si="86"/>
        <v>20015125</v>
      </c>
      <c r="M88" s="32">
        <v>28.0</v>
      </c>
      <c r="N88" s="33">
        <f t="shared" si="4"/>
        <v>31</v>
      </c>
      <c r="O88" s="34">
        <f t="shared" si="5"/>
        <v>3</v>
      </c>
      <c r="P88" s="35">
        <f t="shared" si="6"/>
        <v>3</v>
      </c>
      <c r="Q88" s="36"/>
      <c r="R88" s="14"/>
      <c r="S88" s="14"/>
      <c r="T88" s="14"/>
      <c r="U88" s="14"/>
      <c r="V88" s="14"/>
      <c r="W88" s="14"/>
      <c r="X88" s="14"/>
      <c r="Y88" s="14"/>
      <c r="Z88" s="14"/>
    </row>
    <row r="89" ht="12.75" customHeight="1">
      <c r="A89" s="26" t="s">
        <v>113</v>
      </c>
      <c r="B89" s="26" t="s">
        <v>22</v>
      </c>
      <c r="C89" s="26" t="s">
        <v>20</v>
      </c>
      <c r="D89" s="27">
        <v>109.0</v>
      </c>
      <c r="E89" s="28">
        <v>2.33177E8</v>
      </c>
      <c r="F89" s="27">
        <v>0.0</v>
      </c>
      <c r="G89" s="28">
        <v>0.0</v>
      </c>
      <c r="H89" s="27">
        <v>109.0</v>
      </c>
      <c r="I89" s="28">
        <v>2.33177E8</v>
      </c>
      <c r="J89" s="29">
        <f t="shared" si="2"/>
        <v>2139238.532</v>
      </c>
      <c r="K89" s="30">
        <f t="shared" ref="K89:L89" si="87">H89/12</f>
        <v>9.083333333</v>
      </c>
      <c r="L89" s="31">
        <f t="shared" si="87"/>
        <v>19431416.67</v>
      </c>
      <c r="M89" s="32">
        <v>14.0</v>
      </c>
      <c r="N89" s="33">
        <f t="shared" si="4"/>
        <v>27.25</v>
      </c>
      <c r="O89" s="34">
        <f t="shared" si="5"/>
        <v>13.25</v>
      </c>
      <c r="P89" s="35">
        <f t="shared" si="6"/>
        <v>13.25</v>
      </c>
      <c r="Q89" s="36"/>
      <c r="R89" s="14"/>
      <c r="S89" s="14"/>
      <c r="T89" s="14"/>
      <c r="U89" s="14"/>
      <c r="V89" s="14"/>
      <c r="W89" s="14"/>
      <c r="X89" s="14"/>
      <c r="Y89" s="14"/>
      <c r="Z89" s="14"/>
    </row>
    <row r="90" ht="12.75" customHeight="1">
      <c r="A90" s="26" t="s">
        <v>114</v>
      </c>
      <c r="B90" s="26" t="s">
        <v>31</v>
      </c>
      <c r="C90" s="26" t="s">
        <v>20</v>
      </c>
      <c r="D90" s="27">
        <v>167.0</v>
      </c>
      <c r="E90" s="28">
        <v>2.291378E8</v>
      </c>
      <c r="F90" s="27">
        <v>0.0</v>
      </c>
      <c r="G90" s="28">
        <v>0.0</v>
      </c>
      <c r="H90" s="27">
        <v>167.0</v>
      </c>
      <c r="I90" s="28">
        <v>2.291378E8</v>
      </c>
      <c r="J90" s="29">
        <f t="shared" si="2"/>
        <v>1372082.635</v>
      </c>
      <c r="K90" s="30">
        <f t="shared" ref="K90:L90" si="88">H90/12</f>
        <v>13.91666667</v>
      </c>
      <c r="L90" s="31">
        <f t="shared" si="88"/>
        <v>19094816.67</v>
      </c>
      <c r="M90" s="37">
        <v>113.0</v>
      </c>
      <c r="N90" s="33">
        <f t="shared" si="4"/>
        <v>41.75</v>
      </c>
      <c r="O90" s="34">
        <f t="shared" si="5"/>
        <v>-71.25</v>
      </c>
      <c r="P90" s="35" t="str">
        <f t="shared" si="6"/>
        <v/>
      </c>
      <c r="Q90" s="36"/>
      <c r="R90" s="14"/>
      <c r="S90" s="14"/>
      <c r="T90" s="14"/>
      <c r="U90" s="14"/>
      <c r="V90" s="14"/>
      <c r="W90" s="14"/>
      <c r="X90" s="14"/>
      <c r="Y90" s="14"/>
      <c r="Z90" s="14"/>
    </row>
    <row r="91" ht="12.75" customHeight="1">
      <c r="A91" s="26" t="s">
        <v>115</v>
      </c>
      <c r="B91" s="26" t="s">
        <v>25</v>
      </c>
      <c r="C91" s="26" t="s">
        <v>20</v>
      </c>
      <c r="D91" s="27">
        <v>272.0</v>
      </c>
      <c r="E91" s="28">
        <v>2.256335E8</v>
      </c>
      <c r="F91" s="27">
        <v>0.0</v>
      </c>
      <c r="G91" s="28">
        <v>0.0</v>
      </c>
      <c r="H91" s="27">
        <v>272.0</v>
      </c>
      <c r="I91" s="28">
        <v>2.256335E8</v>
      </c>
      <c r="J91" s="29">
        <f t="shared" si="2"/>
        <v>829534.9265</v>
      </c>
      <c r="K91" s="30">
        <f t="shared" ref="K91:L91" si="89">H91/12</f>
        <v>22.66666667</v>
      </c>
      <c r="L91" s="31">
        <f t="shared" si="89"/>
        <v>18802791.67</v>
      </c>
      <c r="M91" s="37">
        <v>587.0</v>
      </c>
      <c r="N91" s="33">
        <f t="shared" si="4"/>
        <v>68</v>
      </c>
      <c r="O91" s="34">
        <f t="shared" si="5"/>
        <v>-519</v>
      </c>
      <c r="P91" s="35" t="str">
        <f t="shared" si="6"/>
        <v/>
      </c>
      <c r="Q91" s="36"/>
      <c r="R91" s="14"/>
      <c r="S91" s="14"/>
      <c r="T91" s="14"/>
      <c r="U91" s="14"/>
      <c r="V91" s="14"/>
      <c r="W91" s="14"/>
      <c r="X91" s="14"/>
      <c r="Y91" s="14"/>
      <c r="Z91" s="14"/>
    </row>
    <row r="92" ht="12.75" customHeight="1">
      <c r="A92" s="26" t="s">
        <v>116</v>
      </c>
      <c r="B92" s="26" t="s">
        <v>31</v>
      </c>
      <c r="C92" s="26" t="s">
        <v>20</v>
      </c>
      <c r="D92" s="27">
        <v>163.0</v>
      </c>
      <c r="E92" s="28">
        <v>2.2191825E8</v>
      </c>
      <c r="F92" s="27">
        <v>0.0</v>
      </c>
      <c r="G92" s="28">
        <v>0.0</v>
      </c>
      <c r="H92" s="27">
        <v>163.0</v>
      </c>
      <c r="I92" s="28">
        <v>2.2191825E8</v>
      </c>
      <c r="J92" s="29">
        <f t="shared" si="2"/>
        <v>1361461.656</v>
      </c>
      <c r="K92" s="30">
        <f t="shared" ref="K92:L92" si="90">H92/12</f>
        <v>13.58333333</v>
      </c>
      <c r="L92" s="31">
        <f t="shared" si="90"/>
        <v>18493187.5</v>
      </c>
      <c r="M92" s="32">
        <v>116.0</v>
      </c>
      <c r="N92" s="33">
        <f t="shared" si="4"/>
        <v>40.75</v>
      </c>
      <c r="O92" s="34">
        <f t="shared" si="5"/>
        <v>-75.25</v>
      </c>
      <c r="P92" s="35" t="str">
        <f t="shared" si="6"/>
        <v/>
      </c>
      <c r="Q92" s="36"/>
      <c r="R92" s="14"/>
      <c r="S92" s="14"/>
      <c r="T92" s="14"/>
      <c r="U92" s="14"/>
      <c r="V92" s="14"/>
      <c r="W92" s="14"/>
      <c r="X92" s="14"/>
      <c r="Y92" s="14"/>
      <c r="Z92" s="14"/>
    </row>
    <row r="93" ht="12.75" customHeight="1">
      <c r="A93" s="26" t="s">
        <v>117</v>
      </c>
      <c r="B93" s="26" t="s">
        <v>35</v>
      </c>
      <c r="C93" s="26" t="s">
        <v>36</v>
      </c>
      <c r="D93" s="27">
        <v>1960.0</v>
      </c>
      <c r="E93" s="28">
        <v>2.2113E8</v>
      </c>
      <c r="F93" s="27">
        <v>0.0</v>
      </c>
      <c r="G93" s="28">
        <v>0.0</v>
      </c>
      <c r="H93" s="27">
        <v>1960.0</v>
      </c>
      <c r="I93" s="28">
        <v>2.2113E8</v>
      </c>
      <c r="J93" s="29">
        <f t="shared" si="2"/>
        <v>112821.4286</v>
      </c>
      <c r="K93" s="30">
        <f t="shared" ref="K93:L93" si="91">H93/12</f>
        <v>163.3333333</v>
      </c>
      <c r="L93" s="31">
        <f t="shared" si="91"/>
        <v>18427500</v>
      </c>
      <c r="M93" s="37">
        <v>0.0</v>
      </c>
      <c r="N93" s="33">
        <f t="shared" si="4"/>
        <v>490</v>
      </c>
      <c r="O93" s="34">
        <f t="shared" si="5"/>
        <v>490</v>
      </c>
      <c r="P93" s="35">
        <f t="shared" si="6"/>
        <v>490</v>
      </c>
      <c r="Q93" s="36"/>
      <c r="R93" s="14"/>
      <c r="S93" s="14"/>
      <c r="T93" s="14"/>
      <c r="U93" s="14"/>
      <c r="V93" s="14"/>
      <c r="W93" s="14"/>
      <c r="X93" s="14"/>
      <c r="Y93" s="14"/>
      <c r="Z93" s="14"/>
    </row>
    <row r="94" ht="12.75" customHeight="1">
      <c r="A94" s="26" t="s">
        <v>118</v>
      </c>
      <c r="B94" s="26" t="s">
        <v>46</v>
      </c>
      <c r="C94" s="26" t="s">
        <v>20</v>
      </c>
      <c r="D94" s="27">
        <v>84.0</v>
      </c>
      <c r="E94" s="28">
        <v>2.18154E8</v>
      </c>
      <c r="F94" s="27">
        <v>0.0</v>
      </c>
      <c r="G94" s="28">
        <v>0.0</v>
      </c>
      <c r="H94" s="27">
        <v>84.0</v>
      </c>
      <c r="I94" s="28">
        <v>2.18154E8</v>
      </c>
      <c r="J94" s="29">
        <f t="shared" si="2"/>
        <v>2597071.429</v>
      </c>
      <c r="K94" s="30">
        <f t="shared" ref="K94:L94" si="92">H94/12</f>
        <v>7</v>
      </c>
      <c r="L94" s="31">
        <f t="shared" si="92"/>
        <v>18179500</v>
      </c>
      <c r="M94" s="37">
        <v>6.0</v>
      </c>
      <c r="N94" s="33">
        <f t="shared" si="4"/>
        <v>21</v>
      </c>
      <c r="O94" s="34">
        <f t="shared" si="5"/>
        <v>15</v>
      </c>
      <c r="P94" s="35">
        <f t="shared" si="6"/>
        <v>15</v>
      </c>
      <c r="Q94" s="36"/>
      <c r="R94" s="14"/>
      <c r="S94" s="14"/>
      <c r="T94" s="14"/>
      <c r="U94" s="14"/>
      <c r="V94" s="14"/>
      <c r="W94" s="14"/>
      <c r="X94" s="14"/>
      <c r="Y94" s="14"/>
      <c r="Z94" s="14"/>
    </row>
    <row r="95" ht="12.75" customHeight="1">
      <c r="A95" s="26" t="s">
        <v>119</v>
      </c>
      <c r="B95" s="26" t="s">
        <v>19</v>
      </c>
      <c r="C95" s="26" t="s">
        <v>20</v>
      </c>
      <c r="D95" s="27">
        <v>266.0</v>
      </c>
      <c r="E95" s="28">
        <v>2.14414E8</v>
      </c>
      <c r="F95" s="27">
        <v>0.0</v>
      </c>
      <c r="G95" s="28">
        <v>0.0</v>
      </c>
      <c r="H95" s="27">
        <v>266.0</v>
      </c>
      <c r="I95" s="28">
        <v>2.14414E8</v>
      </c>
      <c r="J95" s="29">
        <f t="shared" si="2"/>
        <v>806067.6692</v>
      </c>
      <c r="K95" s="30">
        <f t="shared" ref="K95:L95" si="93">H95/12</f>
        <v>22.16666667</v>
      </c>
      <c r="L95" s="31">
        <f t="shared" si="93"/>
        <v>17867833.33</v>
      </c>
      <c r="M95" s="32">
        <v>42.0</v>
      </c>
      <c r="N95" s="33">
        <f t="shared" si="4"/>
        <v>66.5</v>
      </c>
      <c r="O95" s="34">
        <f t="shared" si="5"/>
        <v>24.5</v>
      </c>
      <c r="P95" s="35">
        <f t="shared" si="6"/>
        <v>24.5</v>
      </c>
      <c r="Q95" s="36"/>
      <c r="R95" s="14"/>
      <c r="S95" s="14"/>
      <c r="T95" s="14"/>
      <c r="U95" s="14"/>
      <c r="V95" s="14"/>
      <c r="W95" s="14"/>
      <c r="X95" s="14"/>
      <c r="Y95" s="14"/>
      <c r="Z95" s="14"/>
    </row>
    <row r="96" ht="12.75" customHeight="1">
      <c r="A96" s="26" t="s">
        <v>120</v>
      </c>
      <c r="B96" s="26" t="s">
        <v>46</v>
      </c>
      <c r="C96" s="26" t="s">
        <v>20</v>
      </c>
      <c r="D96" s="27">
        <v>85.0</v>
      </c>
      <c r="E96" s="28">
        <v>2.115818E8</v>
      </c>
      <c r="F96" s="27">
        <v>0.0</v>
      </c>
      <c r="G96" s="28">
        <v>0.0</v>
      </c>
      <c r="H96" s="27">
        <v>85.0</v>
      </c>
      <c r="I96" s="28">
        <v>2.115818E8</v>
      </c>
      <c r="J96" s="29">
        <f t="shared" si="2"/>
        <v>2489197.647</v>
      </c>
      <c r="K96" s="30">
        <f t="shared" ref="K96:L96" si="94">H96/12</f>
        <v>7.083333333</v>
      </c>
      <c r="L96" s="31">
        <f t="shared" si="94"/>
        <v>17631816.67</v>
      </c>
      <c r="M96" s="37">
        <v>12.0</v>
      </c>
      <c r="N96" s="33">
        <f t="shared" si="4"/>
        <v>21.25</v>
      </c>
      <c r="O96" s="34">
        <f t="shared" si="5"/>
        <v>9.25</v>
      </c>
      <c r="P96" s="35">
        <f t="shared" si="6"/>
        <v>9.25</v>
      </c>
      <c r="Q96" s="36"/>
      <c r="R96" s="14"/>
      <c r="S96" s="14"/>
      <c r="T96" s="14"/>
      <c r="U96" s="14"/>
      <c r="V96" s="14"/>
      <c r="W96" s="14"/>
      <c r="X96" s="14"/>
      <c r="Y96" s="14"/>
      <c r="Z96" s="14"/>
    </row>
    <row r="97" ht="12.75" customHeight="1">
      <c r="A97" s="26" t="s">
        <v>121</v>
      </c>
      <c r="B97" s="26" t="s">
        <v>48</v>
      </c>
      <c r="C97" s="26" t="s">
        <v>20</v>
      </c>
      <c r="D97" s="27">
        <v>127.0</v>
      </c>
      <c r="E97" s="28">
        <v>2.1144725E8</v>
      </c>
      <c r="F97" s="27">
        <v>0.0</v>
      </c>
      <c r="G97" s="28">
        <v>0.0</v>
      </c>
      <c r="H97" s="27">
        <v>127.0</v>
      </c>
      <c r="I97" s="28">
        <v>2.1144725E8</v>
      </c>
      <c r="J97" s="29">
        <f t="shared" si="2"/>
        <v>1664938.976</v>
      </c>
      <c r="K97" s="30">
        <f t="shared" ref="K97:L97" si="95">H97/12</f>
        <v>10.58333333</v>
      </c>
      <c r="L97" s="31">
        <f t="shared" si="95"/>
        <v>17620604.17</v>
      </c>
      <c r="M97" s="37">
        <v>283.0</v>
      </c>
      <c r="N97" s="33">
        <f t="shared" si="4"/>
        <v>31.75</v>
      </c>
      <c r="O97" s="34">
        <f t="shared" si="5"/>
        <v>-251.25</v>
      </c>
      <c r="P97" s="35" t="str">
        <f t="shared" si="6"/>
        <v/>
      </c>
      <c r="Q97" s="36"/>
      <c r="R97" s="14"/>
      <c r="S97" s="14"/>
      <c r="T97" s="14"/>
      <c r="U97" s="14"/>
      <c r="V97" s="14"/>
      <c r="W97" s="14"/>
      <c r="X97" s="14"/>
      <c r="Y97" s="14"/>
      <c r="Z97" s="14"/>
    </row>
    <row r="98" ht="12.75" customHeight="1">
      <c r="A98" s="26" t="s">
        <v>122</v>
      </c>
      <c r="B98" s="26" t="s">
        <v>48</v>
      </c>
      <c r="C98" s="26" t="s">
        <v>20</v>
      </c>
      <c r="D98" s="27">
        <v>141.0</v>
      </c>
      <c r="E98" s="28">
        <v>2.100426E8</v>
      </c>
      <c r="F98" s="27">
        <v>0.0</v>
      </c>
      <c r="G98" s="28">
        <v>0.0</v>
      </c>
      <c r="H98" s="27">
        <v>141.0</v>
      </c>
      <c r="I98" s="28">
        <v>2.100426E8</v>
      </c>
      <c r="J98" s="29">
        <f t="shared" si="2"/>
        <v>1489663.83</v>
      </c>
      <c r="K98" s="30">
        <f t="shared" ref="K98:L98" si="96">H98/12</f>
        <v>11.75</v>
      </c>
      <c r="L98" s="31">
        <f t="shared" si="96"/>
        <v>17503550</v>
      </c>
      <c r="M98" s="32">
        <v>36.0</v>
      </c>
      <c r="N98" s="33">
        <f t="shared" si="4"/>
        <v>35.25</v>
      </c>
      <c r="O98" s="34">
        <f t="shared" si="5"/>
        <v>-0.75</v>
      </c>
      <c r="P98" s="35" t="str">
        <f t="shared" si="6"/>
        <v/>
      </c>
      <c r="Q98" s="36"/>
      <c r="R98" s="14"/>
      <c r="S98" s="14"/>
      <c r="T98" s="14"/>
      <c r="U98" s="14"/>
      <c r="V98" s="14"/>
      <c r="W98" s="14"/>
      <c r="X98" s="14"/>
      <c r="Y98" s="14"/>
      <c r="Z98" s="14"/>
    </row>
    <row r="99" ht="12.75" customHeight="1">
      <c r="A99" s="26" t="s">
        <v>123</v>
      </c>
      <c r="B99" s="26" t="s">
        <v>93</v>
      </c>
      <c r="C99" s="26" t="s">
        <v>20</v>
      </c>
      <c r="D99" s="27">
        <v>296.0</v>
      </c>
      <c r="E99" s="28">
        <v>2.080212E8</v>
      </c>
      <c r="F99" s="27">
        <v>0.0</v>
      </c>
      <c r="G99" s="28">
        <v>0.0</v>
      </c>
      <c r="H99" s="27">
        <v>296.0</v>
      </c>
      <c r="I99" s="28">
        <v>2.080212E8</v>
      </c>
      <c r="J99" s="29">
        <f t="shared" si="2"/>
        <v>702774.3243</v>
      </c>
      <c r="K99" s="30">
        <f t="shared" ref="K99:L99" si="97">H99/12</f>
        <v>24.66666667</v>
      </c>
      <c r="L99" s="31">
        <f t="shared" si="97"/>
        <v>17335100</v>
      </c>
      <c r="M99" s="37">
        <v>340.0</v>
      </c>
      <c r="N99" s="33">
        <f t="shared" si="4"/>
        <v>74</v>
      </c>
      <c r="O99" s="34">
        <f t="shared" si="5"/>
        <v>-266</v>
      </c>
      <c r="P99" s="35" t="str">
        <f t="shared" si="6"/>
        <v/>
      </c>
      <c r="Q99" s="36"/>
      <c r="R99" s="14"/>
      <c r="S99" s="14"/>
      <c r="T99" s="14"/>
      <c r="U99" s="14"/>
      <c r="V99" s="14"/>
      <c r="W99" s="14"/>
      <c r="X99" s="14"/>
      <c r="Y99" s="14"/>
      <c r="Z99" s="14"/>
    </row>
    <row r="100" ht="12.75" customHeight="1">
      <c r="A100" s="26" t="s">
        <v>124</v>
      </c>
      <c r="B100" s="26" t="s">
        <v>31</v>
      </c>
      <c r="C100" s="26" t="s">
        <v>20</v>
      </c>
      <c r="D100" s="27">
        <v>147.0</v>
      </c>
      <c r="E100" s="28">
        <v>2.0477245E8</v>
      </c>
      <c r="F100" s="27">
        <v>0.0</v>
      </c>
      <c r="G100" s="28">
        <v>0.0</v>
      </c>
      <c r="H100" s="27">
        <v>147.0</v>
      </c>
      <c r="I100" s="28">
        <v>2.0477245E8</v>
      </c>
      <c r="J100" s="29">
        <f t="shared" si="2"/>
        <v>1393009.864</v>
      </c>
      <c r="K100" s="30">
        <f t="shared" ref="K100:L100" si="98">H100/12</f>
        <v>12.25</v>
      </c>
      <c r="L100" s="31">
        <f t="shared" si="98"/>
        <v>17064370.83</v>
      </c>
      <c r="M100" s="37">
        <v>66.0</v>
      </c>
      <c r="N100" s="33">
        <f t="shared" si="4"/>
        <v>36.75</v>
      </c>
      <c r="O100" s="34">
        <f t="shared" si="5"/>
        <v>-29.25</v>
      </c>
      <c r="P100" s="35" t="str">
        <f t="shared" si="6"/>
        <v/>
      </c>
      <c r="Q100" s="36"/>
      <c r="R100" s="14"/>
      <c r="S100" s="14"/>
      <c r="T100" s="14"/>
      <c r="U100" s="14"/>
      <c r="V100" s="14"/>
      <c r="W100" s="14"/>
      <c r="X100" s="14"/>
      <c r="Y100" s="14"/>
      <c r="Z100" s="14"/>
    </row>
    <row r="101" ht="12.75" customHeight="1">
      <c r="A101" s="26" t="s">
        <v>125</v>
      </c>
      <c r="B101" s="26" t="s">
        <v>56</v>
      </c>
      <c r="C101" s="26" t="s">
        <v>20</v>
      </c>
      <c r="D101" s="27">
        <v>149.0</v>
      </c>
      <c r="E101" s="28">
        <v>1.9835825E8</v>
      </c>
      <c r="F101" s="27">
        <v>0.0</v>
      </c>
      <c r="G101" s="28">
        <v>0.0</v>
      </c>
      <c r="H101" s="27">
        <v>149.0</v>
      </c>
      <c r="I101" s="28">
        <v>1.9835825E8</v>
      </c>
      <c r="J101" s="29">
        <f t="shared" si="2"/>
        <v>1331263.423</v>
      </c>
      <c r="K101" s="30">
        <f t="shared" ref="K101:L101" si="99">H101/12</f>
        <v>12.41666667</v>
      </c>
      <c r="L101" s="31">
        <f t="shared" si="99"/>
        <v>16529854.17</v>
      </c>
      <c r="M101" s="37">
        <v>439.0</v>
      </c>
      <c r="N101" s="33">
        <f t="shared" si="4"/>
        <v>37.25</v>
      </c>
      <c r="O101" s="34">
        <f t="shared" si="5"/>
        <v>-401.75</v>
      </c>
      <c r="P101" s="35" t="str">
        <f t="shared" si="6"/>
        <v/>
      </c>
      <c r="Q101" s="36"/>
      <c r="R101" s="14"/>
      <c r="S101" s="14"/>
      <c r="T101" s="14"/>
      <c r="U101" s="14"/>
      <c r="V101" s="14"/>
      <c r="W101" s="14"/>
      <c r="X101" s="14"/>
      <c r="Y101" s="14"/>
      <c r="Z101" s="14"/>
    </row>
    <row r="102" ht="12.75" customHeight="1">
      <c r="A102" s="26" t="s">
        <v>126</v>
      </c>
      <c r="B102" s="26" t="s">
        <v>31</v>
      </c>
      <c r="C102" s="26" t="s">
        <v>20</v>
      </c>
      <c r="D102" s="27">
        <v>264.0</v>
      </c>
      <c r="E102" s="28">
        <v>1.969383E8</v>
      </c>
      <c r="F102" s="27">
        <v>0.0</v>
      </c>
      <c r="G102" s="28">
        <v>0.0</v>
      </c>
      <c r="H102" s="27">
        <v>264.0</v>
      </c>
      <c r="I102" s="28">
        <v>1.969383E8</v>
      </c>
      <c r="J102" s="29">
        <f t="shared" si="2"/>
        <v>745978.4091</v>
      </c>
      <c r="K102" s="30">
        <f t="shared" ref="K102:L102" si="100">H102/12</f>
        <v>22</v>
      </c>
      <c r="L102" s="31">
        <f t="shared" si="100"/>
        <v>16411525</v>
      </c>
      <c r="M102" s="37">
        <v>0.0</v>
      </c>
      <c r="N102" s="33">
        <f t="shared" si="4"/>
        <v>66</v>
      </c>
      <c r="O102" s="34">
        <f t="shared" si="5"/>
        <v>66</v>
      </c>
      <c r="P102" s="35">
        <f t="shared" si="6"/>
        <v>66</v>
      </c>
      <c r="Q102" s="36"/>
      <c r="R102" s="14"/>
      <c r="S102" s="14"/>
      <c r="T102" s="14"/>
      <c r="U102" s="14"/>
      <c r="V102" s="14"/>
      <c r="W102" s="14"/>
      <c r="X102" s="14"/>
      <c r="Y102" s="14"/>
      <c r="Z102" s="14"/>
    </row>
    <row r="103" ht="12.75" customHeight="1">
      <c r="A103" s="26" t="s">
        <v>127</v>
      </c>
      <c r="B103" s="26" t="s">
        <v>93</v>
      </c>
      <c r="C103" s="26" t="s">
        <v>20</v>
      </c>
      <c r="D103" s="27">
        <v>300.0</v>
      </c>
      <c r="E103" s="28">
        <v>1.963698E8</v>
      </c>
      <c r="F103" s="27">
        <v>0.0</v>
      </c>
      <c r="G103" s="28">
        <v>0.0</v>
      </c>
      <c r="H103" s="27">
        <v>300.0</v>
      </c>
      <c r="I103" s="28">
        <v>1.963698E8</v>
      </c>
      <c r="J103" s="29">
        <f t="shared" si="2"/>
        <v>654566</v>
      </c>
      <c r="K103" s="30">
        <f t="shared" ref="K103:L103" si="101">H103/12</f>
        <v>25</v>
      </c>
      <c r="L103" s="31">
        <f t="shared" si="101"/>
        <v>16364150</v>
      </c>
      <c r="M103" s="37">
        <v>0.0</v>
      </c>
      <c r="N103" s="33">
        <f t="shared" si="4"/>
        <v>75</v>
      </c>
      <c r="O103" s="34">
        <f t="shared" si="5"/>
        <v>75</v>
      </c>
      <c r="P103" s="35">
        <f t="shared" si="6"/>
        <v>75</v>
      </c>
      <c r="Q103" s="36"/>
      <c r="R103" s="14"/>
      <c r="S103" s="14"/>
      <c r="T103" s="14"/>
      <c r="U103" s="14"/>
      <c r="V103" s="14"/>
      <c r="W103" s="14"/>
      <c r="X103" s="14"/>
      <c r="Y103" s="14"/>
      <c r="Z103" s="14"/>
    </row>
    <row r="104" ht="12.75" customHeight="1">
      <c r="A104" s="26" t="s">
        <v>128</v>
      </c>
      <c r="B104" s="26" t="s">
        <v>19</v>
      </c>
      <c r="C104" s="26" t="s">
        <v>20</v>
      </c>
      <c r="D104" s="27">
        <v>226.0</v>
      </c>
      <c r="E104" s="28">
        <v>1.930674E8</v>
      </c>
      <c r="F104" s="27">
        <v>0.0</v>
      </c>
      <c r="G104" s="28">
        <v>0.0</v>
      </c>
      <c r="H104" s="27">
        <v>226.0</v>
      </c>
      <c r="I104" s="28">
        <v>1.930674E8</v>
      </c>
      <c r="J104" s="29">
        <f t="shared" si="2"/>
        <v>854280.531</v>
      </c>
      <c r="K104" s="30">
        <f t="shared" ref="K104:L104" si="102">H104/12</f>
        <v>18.83333333</v>
      </c>
      <c r="L104" s="31">
        <f t="shared" si="102"/>
        <v>16088950</v>
      </c>
      <c r="M104" s="37">
        <v>14.0</v>
      </c>
      <c r="N104" s="33">
        <f t="shared" si="4"/>
        <v>56.5</v>
      </c>
      <c r="O104" s="34">
        <f t="shared" si="5"/>
        <v>42.5</v>
      </c>
      <c r="P104" s="35">
        <f t="shared" si="6"/>
        <v>42.5</v>
      </c>
      <c r="Q104" s="36"/>
      <c r="R104" s="14"/>
      <c r="S104" s="14"/>
      <c r="T104" s="14"/>
      <c r="U104" s="14"/>
      <c r="V104" s="14"/>
      <c r="W104" s="14"/>
      <c r="X104" s="14"/>
      <c r="Y104" s="14"/>
      <c r="Z104" s="14"/>
    </row>
    <row r="105" ht="12.75" customHeight="1">
      <c r="A105" s="26" t="s">
        <v>129</v>
      </c>
      <c r="B105" s="26" t="s">
        <v>48</v>
      </c>
      <c r="C105" s="26" t="s">
        <v>20</v>
      </c>
      <c r="D105" s="27">
        <v>70.0</v>
      </c>
      <c r="E105" s="28">
        <v>1.88312E8</v>
      </c>
      <c r="F105" s="27">
        <v>0.0</v>
      </c>
      <c r="G105" s="28">
        <v>0.0</v>
      </c>
      <c r="H105" s="27">
        <v>70.0</v>
      </c>
      <c r="I105" s="28">
        <v>1.88312E8</v>
      </c>
      <c r="J105" s="29">
        <f t="shared" si="2"/>
        <v>2690171.429</v>
      </c>
      <c r="K105" s="30">
        <f t="shared" ref="K105:L105" si="103">H105/12</f>
        <v>5.833333333</v>
      </c>
      <c r="L105" s="31">
        <f t="shared" si="103"/>
        <v>15692666.67</v>
      </c>
      <c r="M105" s="37">
        <v>13.0</v>
      </c>
      <c r="N105" s="33">
        <f t="shared" si="4"/>
        <v>17.5</v>
      </c>
      <c r="O105" s="34">
        <f t="shared" si="5"/>
        <v>4.5</v>
      </c>
      <c r="P105" s="35">
        <f t="shared" si="6"/>
        <v>4.5</v>
      </c>
      <c r="Q105" s="36"/>
      <c r="R105" s="14"/>
      <c r="S105" s="14"/>
      <c r="T105" s="14"/>
      <c r="U105" s="14"/>
      <c r="V105" s="14"/>
      <c r="W105" s="14"/>
      <c r="X105" s="14"/>
      <c r="Y105" s="14"/>
      <c r="Z105" s="14"/>
    </row>
    <row r="106" ht="12.75" customHeight="1">
      <c r="A106" s="26" t="s">
        <v>130</v>
      </c>
      <c r="B106" s="26" t="s">
        <v>56</v>
      </c>
      <c r="C106" s="26" t="s">
        <v>20</v>
      </c>
      <c r="D106" s="27">
        <v>184.0</v>
      </c>
      <c r="E106" s="28">
        <v>1.7605545E8</v>
      </c>
      <c r="F106" s="27">
        <v>0.0</v>
      </c>
      <c r="G106" s="28">
        <v>0.0</v>
      </c>
      <c r="H106" s="27">
        <v>184.0</v>
      </c>
      <c r="I106" s="28">
        <v>1.7605545E8</v>
      </c>
      <c r="J106" s="29">
        <f t="shared" si="2"/>
        <v>956823.0978</v>
      </c>
      <c r="K106" s="30">
        <f t="shared" ref="K106:L106" si="104">H106/12</f>
        <v>15.33333333</v>
      </c>
      <c r="L106" s="31">
        <f t="shared" si="104"/>
        <v>14671287.5</v>
      </c>
      <c r="M106" s="37">
        <v>1.0</v>
      </c>
      <c r="N106" s="33">
        <f t="shared" si="4"/>
        <v>46</v>
      </c>
      <c r="O106" s="34">
        <f t="shared" si="5"/>
        <v>45</v>
      </c>
      <c r="P106" s="35">
        <f t="shared" si="6"/>
        <v>45</v>
      </c>
      <c r="Q106" s="36"/>
      <c r="R106" s="14"/>
      <c r="S106" s="14"/>
      <c r="T106" s="14"/>
      <c r="U106" s="14"/>
      <c r="V106" s="14"/>
      <c r="W106" s="14"/>
      <c r="X106" s="14"/>
      <c r="Y106" s="14"/>
      <c r="Z106" s="14"/>
    </row>
    <row r="107" ht="12.75" customHeight="1">
      <c r="A107" s="26" t="s">
        <v>131</v>
      </c>
      <c r="B107" s="26" t="s">
        <v>35</v>
      </c>
      <c r="C107" s="26" t="s">
        <v>36</v>
      </c>
      <c r="D107" s="27">
        <v>2102.0</v>
      </c>
      <c r="E107" s="28">
        <v>1.7504265E8</v>
      </c>
      <c r="F107" s="27">
        <v>0.0</v>
      </c>
      <c r="G107" s="28">
        <v>0.0</v>
      </c>
      <c r="H107" s="27">
        <v>2102.0</v>
      </c>
      <c r="I107" s="28">
        <v>1.7504265E8</v>
      </c>
      <c r="J107" s="29">
        <f t="shared" si="2"/>
        <v>83274.33397</v>
      </c>
      <c r="K107" s="30">
        <f t="shared" ref="K107:L107" si="105">H107/12</f>
        <v>175.1666667</v>
      </c>
      <c r="L107" s="31">
        <f t="shared" si="105"/>
        <v>14586887.5</v>
      </c>
      <c r="M107" s="32">
        <v>0.0</v>
      </c>
      <c r="N107" s="33">
        <f t="shared" si="4"/>
        <v>525.5</v>
      </c>
      <c r="O107" s="34">
        <f t="shared" si="5"/>
        <v>525.5</v>
      </c>
      <c r="P107" s="35">
        <f t="shared" si="6"/>
        <v>525.5</v>
      </c>
      <c r="Q107" s="36"/>
      <c r="R107" s="14"/>
      <c r="S107" s="14"/>
      <c r="T107" s="14"/>
      <c r="U107" s="14"/>
      <c r="V107" s="14"/>
      <c r="W107" s="14"/>
      <c r="X107" s="14"/>
      <c r="Y107" s="14"/>
      <c r="Z107" s="14"/>
    </row>
    <row r="108" ht="12.75" customHeight="1">
      <c r="A108" s="26" t="s">
        <v>132</v>
      </c>
      <c r="B108" s="26" t="s">
        <v>22</v>
      </c>
      <c r="C108" s="26" t="s">
        <v>20</v>
      </c>
      <c r="D108" s="27">
        <v>78.0</v>
      </c>
      <c r="E108" s="28">
        <v>1.7361E8</v>
      </c>
      <c r="F108" s="27">
        <v>0.0</v>
      </c>
      <c r="G108" s="28">
        <v>0.0</v>
      </c>
      <c r="H108" s="27">
        <v>78.0</v>
      </c>
      <c r="I108" s="28">
        <v>1.7361E8</v>
      </c>
      <c r="J108" s="29">
        <f t="shared" si="2"/>
        <v>2225769.231</v>
      </c>
      <c r="K108" s="30">
        <f t="shared" ref="K108:L108" si="106">H108/12</f>
        <v>6.5</v>
      </c>
      <c r="L108" s="31">
        <f t="shared" si="106"/>
        <v>14467500</v>
      </c>
      <c r="M108" s="32">
        <v>10.0</v>
      </c>
      <c r="N108" s="33">
        <f t="shared" si="4"/>
        <v>19.5</v>
      </c>
      <c r="O108" s="34">
        <f t="shared" si="5"/>
        <v>9.5</v>
      </c>
      <c r="P108" s="35">
        <f t="shared" si="6"/>
        <v>9.5</v>
      </c>
      <c r="Q108" s="36"/>
      <c r="R108" s="14"/>
      <c r="S108" s="14"/>
      <c r="T108" s="14"/>
      <c r="U108" s="14"/>
      <c r="V108" s="14"/>
      <c r="W108" s="14"/>
      <c r="X108" s="14"/>
      <c r="Y108" s="14"/>
      <c r="Z108" s="14"/>
    </row>
    <row r="109" ht="12.75" customHeight="1">
      <c r="A109" s="26" t="s">
        <v>133</v>
      </c>
      <c r="B109" s="26" t="s">
        <v>25</v>
      </c>
      <c r="C109" s="26" t="s">
        <v>20</v>
      </c>
      <c r="D109" s="27">
        <v>189.0</v>
      </c>
      <c r="E109" s="28">
        <v>1.733331E8</v>
      </c>
      <c r="F109" s="27">
        <v>0.0</v>
      </c>
      <c r="G109" s="28">
        <v>0.0</v>
      </c>
      <c r="H109" s="27">
        <v>189.0</v>
      </c>
      <c r="I109" s="28">
        <v>1.733331E8</v>
      </c>
      <c r="J109" s="29">
        <f t="shared" si="2"/>
        <v>917106.3492</v>
      </c>
      <c r="K109" s="30">
        <f t="shared" ref="K109:L109" si="107">H109/12</f>
        <v>15.75</v>
      </c>
      <c r="L109" s="31">
        <f t="shared" si="107"/>
        <v>14444425</v>
      </c>
      <c r="M109" s="32">
        <v>129.0</v>
      </c>
      <c r="N109" s="33">
        <f t="shared" si="4"/>
        <v>47.25</v>
      </c>
      <c r="O109" s="34">
        <f t="shared" si="5"/>
        <v>-81.75</v>
      </c>
      <c r="P109" s="35" t="str">
        <f t="shared" si="6"/>
        <v/>
      </c>
      <c r="Q109" s="36"/>
      <c r="R109" s="14"/>
      <c r="S109" s="14"/>
      <c r="T109" s="14"/>
      <c r="U109" s="14"/>
      <c r="V109" s="14"/>
      <c r="W109" s="14"/>
      <c r="X109" s="14"/>
      <c r="Y109" s="14"/>
      <c r="Z109" s="14"/>
    </row>
    <row r="110" ht="12.75" customHeight="1">
      <c r="A110" s="26" t="s">
        <v>134</v>
      </c>
      <c r="B110" s="26" t="s">
        <v>31</v>
      </c>
      <c r="C110" s="26" t="s">
        <v>20</v>
      </c>
      <c r="D110" s="27">
        <v>156.0</v>
      </c>
      <c r="E110" s="28">
        <v>1.6223025E8</v>
      </c>
      <c r="F110" s="27">
        <v>0.0</v>
      </c>
      <c r="G110" s="28">
        <v>0.0</v>
      </c>
      <c r="H110" s="27">
        <v>156.0</v>
      </c>
      <c r="I110" s="28">
        <v>1.6223025E8</v>
      </c>
      <c r="J110" s="29">
        <f t="shared" si="2"/>
        <v>1039937.5</v>
      </c>
      <c r="K110" s="30">
        <f t="shared" ref="K110:L110" si="108">H110/12</f>
        <v>13</v>
      </c>
      <c r="L110" s="31">
        <f t="shared" si="108"/>
        <v>13519187.5</v>
      </c>
      <c r="M110" s="37">
        <v>0.0</v>
      </c>
      <c r="N110" s="33">
        <f t="shared" si="4"/>
        <v>39</v>
      </c>
      <c r="O110" s="34">
        <f t="shared" si="5"/>
        <v>39</v>
      </c>
      <c r="P110" s="35">
        <f t="shared" si="6"/>
        <v>39</v>
      </c>
      <c r="Q110" s="36"/>
      <c r="R110" s="14"/>
      <c r="S110" s="14"/>
      <c r="T110" s="14"/>
      <c r="U110" s="14"/>
      <c r="V110" s="14"/>
      <c r="W110" s="14"/>
      <c r="X110" s="14"/>
      <c r="Y110" s="14"/>
      <c r="Z110" s="14"/>
    </row>
    <row r="111" ht="12.75" customHeight="1">
      <c r="A111" s="26" t="s">
        <v>135</v>
      </c>
      <c r="B111" s="26" t="s">
        <v>19</v>
      </c>
      <c r="C111" s="26" t="s">
        <v>20</v>
      </c>
      <c r="D111" s="27">
        <v>258.0</v>
      </c>
      <c r="E111" s="28">
        <v>1.60404E8</v>
      </c>
      <c r="F111" s="27">
        <v>0.0</v>
      </c>
      <c r="G111" s="28">
        <v>0.0</v>
      </c>
      <c r="H111" s="27">
        <v>258.0</v>
      </c>
      <c r="I111" s="28">
        <v>1.60404E8</v>
      </c>
      <c r="J111" s="29">
        <f t="shared" si="2"/>
        <v>621720.9302</v>
      </c>
      <c r="K111" s="30">
        <f t="shared" ref="K111:L111" si="109">H111/12</f>
        <v>21.5</v>
      </c>
      <c r="L111" s="31">
        <f t="shared" si="109"/>
        <v>13367000</v>
      </c>
      <c r="M111" s="37">
        <v>0.0</v>
      </c>
      <c r="N111" s="33">
        <f t="shared" si="4"/>
        <v>64.5</v>
      </c>
      <c r="O111" s="34">
        <f t="shared" si="5"/>
        <v>64.5</v>
      </c>
      <c r="P111" s="35">
        <f t="shared" si="6"/>
        <v>64.5</v>
      </c>
      <c r="Q111" s="36"/>
      <c r="R111" s="14"/>
      <c r="S111" s="14"/>
      <c r="T111" s="14"/>
      <c r="U111" s="14"/>
      <c r="V111" s="14"/>
      <c r="W111" s="14"/>
      <c r="X111" s="14"/>
      <c r="Y111" s="14"/>
      <c r="Z111" s="14"/>
    </row>
    <row r="112" ht="12.75" customHeight="1">
      <c r="A112" s="26" t="s">
        <v>136</v>
      </c>
      <c r="B112" s="26" t="s">
        <v>56</v>
      </c>
      <c r="C112" s="26" t="s">
        <v>20</v>
      </c>
      <c r="D112" s="27">
        <v>210.0</v>
      </c>
      <c r="E112" s="28">
        <v>1.594456E8</v>
      </c>
      <c r="F112" s="27">
        <v>0.0</v>
      </c>
      <c r="G112" s="28">
        <v>0.0</v>
      </c>
      <c r="H112" s="27">
        <v>210.0</v>
      </c>
      <c r="I112" s="28">
        <v>1.594456E8</v>
      </c>
      <c r="J112" s="29">
        <f t="shared" si="2"/>
        <v>759264.7619</v>
      </c>
      <c r="K112" s="30">
        <f t="shared" ref="K112:L112" si="110">H112/12</f>
        <v>17.5</v>
      </c>
      <c r="L112" s="31">
        <f t="shared" si="110"/>
        <v>13287133.33</v>
      </c>
      <c r="M112" s="37">
        <v>0.0</v>
      </c>
      <c r="N112" s="33">
        <f t="shared" si="4"/>
        <v>52.5</v>
      </c>
      <c r="O112" s="34">
        <f t="shared" si="5"/>
        <v>52.5</v>
      </c>
      <c r="P112" s="35">
        <f t="shared" si="6"/>
        <v>52.5</v>
      </c>
      <c r="Q112" s="36"/>
      <c r="R112" s="14"/>
      <c r="S112" s="14"/>
      <c r="T112" s="14"/>
      <c r="U112" s="14"/>
      <c r="V112" s="14"/>
      <c r="W112" s="14"/>
      <c r="X112" s="14"/>
      <c r="Y112" s="14"/>
      <c r="Z112" s="14"/>
    </row>
    <row r="113" ht="12.75" customHeight="1">
      <c r="A113" s="26" t="s">
        <v>137</v>
      </c>
      <c r="B113" s="26" t="s">
        <v>25</v>
      </c>
      <c r="C113" s="26" t="s">
        <v>20</v>
      </c>
      <c r="D113" s="27">
        <v>206.0</v>
      </c>
      <c r="E113" s="28">
        <v>1.586636E8</v>
      </c>
      <c r="F113" s="27">
        <v>0.0</v>
      </c>
      <c r="G113" s="28">
        <v>0.0</v>
      </c>
      <c r="H113" s="27">
        <v>206.0</v>
      </c>
      <c r="I113" s="28">
        <v>1.586636E8</v>
      </c>
      <c r="J113" s="29">
        <f t="shared" si="2"/>
        <v>770211.6505</v>
      </c>
      <c r="K113" s="30">
        <f t="shared" ref="K113:L113" si="111">H113/12</f>
        <v>17.16666667</v>
      </c>
      <c r="L113" s="31">
        <f t="shared" si="111"/>
        <v>13221966.67</v>
      </c>
      <c r="M113" s="37">
        <v>0.0</v>
      </c>
      <c r="N113" s="33">
        <f t="shared" si="4"/>
        <v>51.5</v>
      </c>
      <c r="O113" s="34">
        <f t="shared" si="5"/>
        <v>51.5</v>
      </c>
      <c r="P113" s="35">
        <f t="shared" si="6"/>
        <v>51.5</v>
      </c>
      <c r="Q113" s="36"/>
      <c r="R113" s="14"/>
      <c r="S113" s="14"/>
      <c r="T113" s="14"/>
      <c r="U113" s="14"/>
      <c r="V113" s="14"/>
      <c r="W113" s="14"/>
      <c r="X113" s="14"/>
      <c r="Y113" s="14"/>
      <c r="Z113" s="14"/>
    </row>
    <row r="114" ht="12.75" customHeight="1">
      <c r="A114" s="26" t="s">
        <v>138</v>
      </c>
      <c r="B114" s="26" t="s">
        <v>31</v>
      </c>
      <c r="C114" s="26" t="s">
        <v>20</v>
      </c>
      <c r="D114" s="27">
        <v>115.0</v>
      </c>
      <c r="E114" s="28">
        <v>1.5536915E8</v>
      </c>
      <c r="F114" s="27">
        <v>0.0</v>
      </c>
      <c r="G114" s="28">
        <v>0.0</v>
      </c>
      <c r="H114" s="27">
        <v>115.0</v>
      </c>
      <c r="I114" s="28">
        <v>1.5536915E8</v>
      </c>
      <c r="J114" s="29">
        <f t="shared" si="2"/>
        <v>1351036.087</v>
      </c>
      <c r="K114" s="30">
        <f t="shared" ref="K114:L114" si="112">H114/12</f>
        <v>9.583333333</v>
      </c>
      <c r="L114" s="31">
        <f t="shared" si="112"/>
        <v>12947429.17</v>
      </c>
      <c r="M114" s="32">
        <v>0.0</v>
      </c>
      <c r="N114" s="33">
        <f t="shared" si="4"/>
        <v>28.75</v>
      </c>
      <c r="O114" s="34">
        <f t="shared" si="5"/>
        <v>28.75</v>
      </c>
      <c r="P114" s="35">
        <f t="shared" si="6"/>
        <v>28.75</v>
      </c>
      <c r="Q114" s="36"/>
      <c r="R114" s="14"/>
      <c r="S114" s="14"/>
      <c r="T114" s="14"/>
      <c r="U114" s="14"/>
      <c r="V114" s="14"/>
      <c r="W114" s="14"/>
      <c r="X114" s="14"/>
      <c r="Y114" s="14"/>
      <c r="Z114" s="14"/>
    </row>
    <row r="115" ht="12.75" customHeight="1">
      <c r="A115" s="26" t="s">
        <v>139</v>
      </c>
      <c r="B115" s="26" t="s">
        <v>48</v>
      </c>
      <c r="C115" s="26" t="s">
        <v>20</v>
      </c>
      <c r="D115" s="27">
        <v>89.0</v>
      </c>
      <c r="E115" s="28">
        <v>1.539291E8</v>
      </c>
      <c r="F115" s="27">
        <v>0.0</v>
      </c>
      <c r="G115" s="28">
        <v>0.0</v>
      </c>
      <c r="H115" s="27">
        <v>89.0</v>
      </c>
      <c r="I115" s="28">
        <v>1.539291E8</v>
      </c>
      <c r="J115" s="29">
        <f t="shared" si="2"/>
        <v>1729540.449</v>
      </c>
      <c r="K115" s="30">
        <f t="shared" ref="K115:L115" si="113">H115/12</f>
        <v>7.416666667</v>
      </c>
      <c r="L115" s="31">
        <f t="shared" si="113"/>
        <v>12827425</v>
      </c>
      <c r="M115" s="32">
        <v>4.0</v>
      </c>
      <c r="N115" s="33">
        <f t="shared" si="4"/>
        <v>22.25</v>
      </c>
      <c r="O115" s="34">
        <f t="shared" si="5"/>
        <v>18.25</v>
      </c>
      <c r="P115" s="35">
        <f t="shared" si="6"/>
        <v>18.25</v>
      </c>
      <c r="Q115" s="36"/>
      <c r="R115" s="14"/>
      <c r="S115" s="14"/>
      <c r="T115" s="14"/>
      <c r="U115" s="14"/>
      <c r="V115" s="14"/>
      <c r="W115" s="14"/>
      <c r="X115" s="14"/>
      <c r="Y115" s="14"/>
      <c r="Z115" s="14"/>
    </row>
    <row r="116" ht="12.75" customHeight="1">
      <c r="A116" s="26" t="s">
        <v>140</v>
      </c>
      <c r="B116" s="26" t="s">
        <v>19</v>
      </c>
      <c r="C116" s="26" t="s">
        <v>20</v>
      </c>
      <c r="D116" s="27">
        <v>172.0</v>
      </c>
      <c r="E116" s="28">
        <v>1.528128E8</v>
      </c>
      <c r="F116" s="27">
        <v>0.0</v>
      </c>
      <c r="G116" s="28">
        <v>0.0</v>
      </c>
      <c r="H116" s="27">
        <v>172.0</v>
      </c>
      <c r="I116" s="28">
        <v>1.528128E8</v>
      </c>
      <c r="J116" s="29">
        <f t="shared" si="2"/>
        <v>888446.5116</v>
      </c>
      <c r="K116" s="30">
        <f t="shared" ref="K116:L116" si="114">H116/12</f>
        <v>14.33333333</v>
      </c>
      <c r="L116" s="31">
        <f t="shared" si="114"/>
        <v>12734400</v>
      </c>
      <c r="M116" s="32">
        <v>0.0</v>
      </c>
      <c r="N116" s="33">
        <f t="shared" si="4"/>
        <v>43</v>
      </c>
      <c r="O116" s="34">
        <f t="shared" si="5"/>
        <v>43</v>
      </c>
      <c r="P116" s="35">
        <f t="shared" si="6"/>
        <v>43</v>
      </c>
      <c r="Q116" s="36"/>
      <c r="R116" s="14"/>
      <c r="S116" s="14"/>
      <c r="T116" s="14"/>
      <c r="U116" s="14"/>
      <c r="V116" s="14"/>
      <c r="W116" s="14"/>
      <c r="X116" s="14"/>
      <c r="Y116" s="14"/>
      <c r="Z116" s="14"/>
    </row>
    <row r="117" ht="12.75" customHeight="1">
      <c r="A117" s="26" t="s">
        <v>141</v>
      </c>
      <c r="B117" s="26" t="s">
        <v>19</v>
      </c>
      <c r="C117" s="26" t="s">
        <v>20</v>
      </c>
      <c r="D117" s="27">
        <v>192.0</v>
      </c>
      <c r="E117" s="28">
        <v>1.5224E8</v>
      </c>
      <c r="F117" s="27">
        <v>0.0</v>
      </c>
      <c r="G117" s="28">
        <v>0.0</v>
      </c>
      <c r="H117" s="27">
        <v>192.0</v>
      </c>
      <c r="I117" s="28">
        <v>1.5224E8</v>
      </c>
      <c r="J117" s="29">
        <f t="shared" si="2"/>
        <v>792916.6667</v>
      </c>
      <c r="K117" s="30">
        <f t="shared" ref="K117:L117" si="115">H117/12</f>
        <v>16</v>
      </c>
      <c r="L117" s="31">
        <f t="shared" si="115"/>
        <v>12686666.67</v>
      </c>
      <c r="M117" s="32">
        <v>0.0</v>
      </c>
      <c r="N117" s="33">
        <f t="shared" si="4"/>
        <v>48</v>
      </c>
      <c r="O117" s="34">
        <f t="shared" si="5"/>
        <v>48</v>
      </c>
      <c r="P117" s="35">
        <f t="shared" si="6"/>
        <v>48</v>
      </c>
      <c r="Q117" s="36"/>
      <c r="R117" s="14"/>
      <c r="S117" s="14"/>
      <c r="T117" s="14"/>
      <c r="U117" s="14"/>
      <c r="V117" s="14"/>
      <c r="W117" s="14"/>
      <c r="X117" s="14"/>
      <c r="Y117" s="14"/>
      <c r="Z117" s="14"/>
    </row>
    <row r="118" ht="12.75" customHeight="1">
      <c r="A118" s="26" t="s">
        <v>142</v>
      </c>
      <c r="B118" s="26" t="s">
        <v>19</v>
      </c>
      <c r="C118" s="26" t="s">
        <v>20</v>
      </c>
      <c r="D118" s="27">
        <v>143.0</v>
      </c>
      <c r="E118" s="28">
        <v>1.482532E8</v>
      </c>
      <c r="F118" s="27">
        <v>0.0</v>
      </c>
      <c r="G118" s="28">
        <v>0.0</v>
      </c>
      <c r="H118" s="27">
        <v>143.0</v>
      </c>
      <c r="I118" s="28">
        <v>1.482532E8</v>
      </c>
      <c r="J118" s="29">
        <f t="shared" si="2"/>
        <v>1036735.664</v>
      </c>
      <c r="K118" s="30">
        <f t="shared" ref="K118:L118" si="116">H118/12</f>
        <v>11.91666667</v>
      </c>
      <c r="L118" s="31">
        <f t="shared" si="116"/>
        <v>12354433.33</v>
      </c>
      <c r="M118" s="37">
        <v>439.0</v>
      </c>
      <c r="N118" s="33">
        <f t="shared" si="4"/>
        <v>35.75</v>
      </c>
      <c r="O118" s="34">
        <f t="shared" si="5"/>
        <v>-403.25</v>
      </c>
      <c r="P118" s="35" t="str">
        <f t="shared" si="6"/>
        <v/>
      </c>
      <c r="Q118" s="36"/>
      <c r="R118" s="14"/>
      <c r="S118" s="14"/>
      <c r="T118" s="14"/>
      <c r="U118" s="14"/>
      <c r="V118" s="14"/>
      <c r="W118" s="14"/>
      <c r="X118" s="14"/>
      <c r="Y118" s="14"/>
      <c r="Z118" s="14"/>
    </row>
    <row r="119" ht="12.75" customHeight="1">
      <c r="A119" s="26" t="s">
        <v>143</v>
      </c>
      <c r="B119" s="26" t="s">
        <v>25</v>
      </c>
      <c r="C119" s="26" t="s">
        <v>20</v>
      </c>
      <c r="D119" s="27">
        <v>196.0</v>
      </c>
      <c r="E119" s="28">
        <v>1.474968E8</v>
      </c>
      <c r="F119" s="27">
        <v>0.0</v>
      </c>
      <c r="G119" s="28">
        <v>0.0</v>
      </c>
      <c r="H119" s="27">
        <v>196.0</v>
      </c>
      <c r="I119" s="28">
        <v>1.474968E8</v>
      </c>
      <c r="J119" s="29">
        <f t="shared" si="2"/>
        <v>752534.6939</v>
      </c>
      <c r="K119" s="30">
        <f t="shared" ref="K119:L119" si="117">H119/12</f>
        <v>16.33333333</v>
      </c>
      <c r="L119" s="31">
        <f t="shared" si="117"/>
        <v>12291400</v>
      </c>
      <c r="M119" s="32">
        <v>114.0</v>
      </c>
      <c r="N119" s="33">
        <f t="shared" si="4"/>
        <v>49</v>
      </c>
      <c r="O119" s="34">
        <f t="shared" si="5"/>
        <v>-65</v>
      </c>
      <c r="P119" s="35" t="str">
        <f t="shared" si="6"/>
        <v/>
      </c>
      <c r="Q119" s="36"/>
      <c r="R119" s="14"/>
      <c r="S119" s="14"/>
      <c r="T119" s="14"/>
      <c r="U119" s="14"/>
      <c r="V119" s="14"/>
      <c r="W119" s="14"/>
      <c r="X119" s="14"/>
      <c r="Y119" s="14"/>
      <c r="Z119" s="14"/>
    </row>
    <row r="120" ht="12.75" customHeight="1">
      <c r="A120" s="26" t="s">
        <v>144</v>
      </c>
      <c r="B120" s="26" t="s">
        <v>22</v>
      </c>
      <c r="C120" s="26" t="s">
        <v>20</v>
      </c>
      <c r="D120" s="27">
        <v>84.0</v>
      </c>
      <c r="E120" s="28">
        <v>1.4022775E8</v>
      </c>
      <c r="F120" s="27">
        <v>0.0</v>
      </c>
      <c r="G120" s="28">
        <v>0.0</v>
      </c>
      <c r="H120" s="27">
        <v>84.0</v>
      </c>
      <c r="I120" s="28">
        <v>1.4022775E8</v>
      </c>
      <c r="J120" s="29">
        <f t="shared" si="2"/>
        <v>1669377.976</v>
      </c>
      <c r="K120" s="30">
        <f t="shared" ref="K120:L120" si="118">H120/12</f>
        <v>7</v>
      </c>
      <c r="L120" s="31">
        <f t="shared" si="118"/>
        <v>11685645.83</v>
      </c>
      <c r="M120" s="37">
        <v>3.0</v>
      </c>
      <c r="N120" s="33">
        <f t="shared" si="4"/>
        <v>21</v>
      </c>
      <c r="O120" s="34">
        <f t="shared" si="5"/>
        <v>18</v>
      </c>
      <c r="P120" s="35">
        <f t="shared" si="6"/>
        <v>18</v>
      </c>
      <c r="Q120" s="36"/>
      <c r="R120" s="14"/>
      <c r="S120" s="14"/>
      <c r="T120" s="14"/>
      <c r="U120" s="14"/>
      <c r="V120" s="14"/>
      <c r="W120" s="14"/>
      <c r="X120" s="14"/>
      <c r="Y120" s="14"/>
      <c r="Z120" s="14"/>
    </row>
    <row r="121" ht="12.75" customHeight="1">
      <c r="A121" s="26" t="s">
        <v>145</v>
      </c>
      <c r="B121" s="26" t="s">
        <v>48</v>
      </c>
      <c r="C121" s="26" t="s">
        <v>20</v>
      </c>
      <c r="D121" s="27">
        <v>60.0</v>
      </c>
      <c r="E121" s="28">
        <v>1.37402E8</v>
      </c>
      <c r="F121" s="27">
        <v>0.0</v>
      </c>
      <c r="G121" s="28">
        <v>0.0</v>
      </c>
      <c r="H121" s="27">
        <v>60.0</v>
      </c>
      <c r="I121" s="28">
        <v>1.37402E8</v>
      </c>
      <c r="J121" s="29">
        <f t="shared" si="2"/>
        <v>2290033.333</v>
      </c>
      <c r="K121" s="30">
        <f t="shared" ref="K121:L121" si="119">H121/12</f>
        <v>5</v>
      </c>
      <c r="L121" s="31">
        <f t="shared" si="119"/>
        <v>11450166.67</v>
      </c>
      <c r="M121" s="32">
        <v>0.0</v>
      </c>
      <c r="N121" s="33">
        <f t="shared" si="4"/>
        <v>15</v>
      </c>
      <c r="O121" s="34">
        <f t="shared" si="5"/>
        <v>15</v>
      </c>
      <c r="P121" s="35">
        <f t="shared" si="6"/>
        <v>15</v>
      </c>
      <c r="Q121" s="36"/>
      <c r="R121" s="14"/>
      <c r="S121" s="14"/>
      <c r="T121" s="14"/>
      <c r="U121" s="14"/>
      <c r="V121" s="14"/>
      <c r="W121" s="14"/>
      <c r="X121" s="14"/>
      <c r="Y121" s="14"/>
      <c r="Z121" s="14"/>
    </row>
    <row r="122" ht="12.75" customHeight="1">
      <c r="A122" s="26" t="s">
        <v>146</v>
      </c>
      <c r="B122" s="26" t="s">
        <v>25</v>
      </c>
      <c r="C122" s="26" t="s">
        <v>20</v>
      </c>
      <c r="D122" s="27">
        <v>160.0</v>
      </c>
      <c r="E122" s="28">
        <v>1.3460255E8</v>
      </c>
      <c r="F122" s="27">
        <v>0.0</v>
      </c>
      <c r="G122" s="28">
        <v>0.0</v>
      </c>
      <c r="H122" s="27">
        <v>160.0</v>
      </c>
      <c r="I122" s="28">
        <v>1.3460255E8</v>
      </c>
      <c r="J122" s="29">
        <f t="shared" si="2"/>
        <v>841265.9375</v>
      </c>
      <c r="K122" s="30">
        <f t="shared" ref="K122:L122" si="120">H122/12</f>
        <v>13.33333333</v>
      </c>
      <c r="L122" s="31">
        <f t="shared" si="120"/>
        <v>11216879.17</v>
      </c>
      <c r="M122" s="37">
        <v>96.0</v>
      </c>
      <c r="N122" s="33">
        <f t="shared" si="4"/>
        <v>40</v>
      </c>
      <c r="O122" s="34">
        <f t="shared" si="5"/>
        <v>-56</v>
      </c>
      <c r="P122" s="35" t="str">
        <f t="shared" si="6"/>
        <v/>
      </c>
      <c r="Q122" s="36"/>
      <c r="R122" s="14"/>
      <c r="S122" s="14"/>
      <c r="T122" s="14"/>
      <c r="U122" s="14"/>
      <c r="V122" s="14"/>
      <c r="W122" s="14"/>
      <c r="X122" s="14"/>
      <c r="Y122" s="14"/>
      <c r="Z122" s="14"/>
    </row>
    <row r="123" ht="12.75" customHeight="1">
      <c r="A123" s="26" t="s">
        <v>147</v>
      </c>
      <c r="B123" s="26" t="s">
        <v>25</v>
      </c>
      <c r="C123" s="26" t="s">
        <v>20</v>
      </c>
      <c r="D123" s="27">
        <v>225.0</v>
      </c>
      <c r="E123" s="28">
        <v>1.322732E8</v>
      </c>
      <c r="F123" s="27">
        <v>0.0</v>
      </c>
      <c r="G123" s="28">
        <v>0.0</v>
      </c>
      <c r="H123" s="27">
        <v>225.0</v>
      </c>
      <c r="I123" s="28">
        <v>1.322732E8</v>
      </c>
      <c r="J123" s="29">
        <f t="shared" si="2"/>
        <v>587880.8889</v>
      </c>
      <c r="K123" s="30">
        <f t="shared" ref="K123:L123" si="121">H123/12</f>
        <v>18.75</v>
      </c>
      <c r="L123" s="31">
        <f t="shared" si="121"/>
        <v>11022766.67</v>
      </c>
      <c r="M123" s="32">
        <v>2.0</v>
      </c>
      <c r="N123" s="33">
        <f t="shared" si="4"/>
        <v>56.25</v>
      </c>
      <c r="O123" s="34">
        <f t="shared" si="5"/>
        <v>54.25</v>
      </c>
      <c r="P123" s="35">
        <f t="shared" si="6"/>
        <v>54.25</v>
      </c>
      <c r="Q123" s="36"/>
      <c r="R123" s="14"/>
      <c r="S123" s="14"/>
      <c r="T123" s="14"/>
      <c r="U123" s="14"/>
      <c r="V123" s="14"/>
      <c r="W123" s="14"/>
      <c r="X123" s="14"/>
      <c r="Y123" s="14"/>
      <c r="Z123" s="14"/>
    </row>
    <row r="124" ht="12.75" customHeight="1">
      <c r="A124" s="26" t="s">
        <v>148</v>
      </c>
      <c r="B124" s="26" t="s">
        <v>31</v>
      </c>
      <c r="C124" s="26" t="s">
        <v>20</v>
      </c>
      <c r="D124" s="27">
        <v>113.0</v>
      </c>
      <c r="E124" s="28">
        <v>1.322159E8</v>
      </c>
      <c r="F124" s="27">
        <v>0.0</v>
      </c>
      <c r="G124" s="28">
        <v>0.0</v>
      </c>
      <c r="H124" s="27">
        <v>113.0</v>
      </c>
      <c r="I124" s="28">
        <v>1.322159E8</v>
      </c>
      <c r="J124" s="29">
        <f t="shared" si="2"/>
        <v>1170052.212</v>
      </c>
      <c r="K124" s="30">
        <f t="shared" ref="K124:L124" si="122">H124/12</f>
        <v>9.416666667</v>
      </c>
      <c r="L124" s="31">
        <f t="shared" si="122"/>
        <v>11017991.67</v>
      </c>
      <c r="M124" s="32">
        <v>3.0</v>
      </c>
      <c r="N124" s="33">
        <f t="shared" si="4"/>
        <v>28.25</v>
      </c>
      <c r="O124" s="34">
        <f t="shared" si="5"/>
        <v>25.25</v>
      </c>
      <c r="P124" s="35">
        <f t="shared" si="6"/>
        <v>25.25</v>
      </c>
      <c r="Q124" s="36"/>
      <c r="R124" s="14"/>
      <c r="S124" s="14"/>
      <c r="T124" s="14"/>
      <c r="U124" s="14"/>
      <c r="V124" s="14"/>
      <c r="W124" s="14"/>
      <c r="X124" s="14"/>
      <c r="Y124" s="14"/>
      <c r="Z124" s="14"/>
    </row>
    <row r="125" ht="12.75" customHeight="1">
      <c r="A125" s="26" t="s">
        <v>149</v>
      </c>
      <c r="B125" s="26" t="s">
        <v>35</v>
      </c>
      <c r="C125" s="26" t="s">
        <v>36</v>
      </c>
      <c r="D125" s="27">
        <v>1668.0</v>
      </c>
      <c r="E125" s="28">
        <v>1.26993075E8</v>
      </c>
      <c r="F125" s="27">
        <v>0.0</v>
      </c>
      <c r="G125" s="28">
        <v>0.0</v>
      </c>
      <c r="H125" s="27">
        <v>1668.0</v>
      </c>
      <c r="I125" s="28">
        <v>1.26993075E8</v>
      </c>
      <c r="J125" s="29">
        <f t="shared" si="2"/>
        <v>76134.93705</v>
      </c>
      <c r="K125" s="30">
        <f t="shared" ref="K125:L125" si="123">H125/12</f>
        <v>139</v>
      </c>
      <c r="L125" s="31">
        <f t="shared" si="123"/>
        <v>10582756.25</v>
      </c>
      <c r="M125" s="32">
        <v>1.0</v>
      </c>
      <c r="N125" s="33">
        <f t="shared" si="4"/>
        <v>417</v>
      </c>
      <c r="O125" s="34">
        <f t="shared" si="5"/>
        <v>416</v>
      </c>
      <c r="P125" s="35">
        <f t="shared" si="6"/>
        <v>416</v>
      </c>
      <c r="Q125" s="36"/>
      <c r="R125" s="14"/>
      <c r="S125" s="14"/>
      <c r="T125" s="14"/>
      <c r="U125" s="14"/>
      <c r="V125" s="14"/>
      <c r="W125" s="14"/>
      <c r="X125" s="14"/>
      <c r="Y125" s="14"/>
      <c r="Z125" s="14"/>
    </row>
    <row r="126" ht="12.75" customHeight="1">
      <c r="A126" s="26" t="s">
        <v>150</v>
      </c>
      <c r="B126" s="26" t="s">
        <v>46</v>
      </c>
      <c r="C126" s="26" t="s">
        <v>20</v>
      </c>
      <c r="D126" s="27">
        <v>74.0</v>
      </c>
      <c r="E126" s="28">
        <v>1.21335E8</v>
      </c>
      <c r="F126" s="27">
        <v>0.0</v>
      </c>
      <c r="G126" s="28">
        <v>0.0</v>
      </c>
      <c r="H126" s="27">
        <v>74.0</v>
      </c>
      <c r="I126" s="28">
        <v>1.21335E8</v>
      </c>
      <c r="J126" s="29">
        <f t="shared" si="2"/>
        <v>1639662.162</v>
      </c>
      <c r="K126" s="30">
        <f t="shared" ref="K126:L126" si="124">H126/12</f>
        <v>6.166666667</v>
      </c>
      <c r="L126" s="31">
        <f t="shared" si="124"/>
        <v>10111250</v>
      </c>
      <c r="M126" s="32">
        <v>95.0</v>
      </c>
      <c r="N126" s="33">
        <f t="shared" si="4"/>
        <v>18.5</v>
      </c>
      <c r="O126" s="34">
        <f t="shared" si="5"/>
        <v>-76.5</v>
      </c>
      <c r="P126" s="35" t="str">
        <f t="shared" si="6"/>
        <v/>
      </c>
      <c r="Q126" s="36"/>
      <c r="R126" s="14"/>
      <c r="S126" s="14"/>
      <c r="T126" s="14"/>
      <c r="U126" s="14"/>
      <c r="V126" s="14"/>
      <c r="W126" s="14"/>
      <c r="X126" s="14"/>
      <c r="Y126" s="14"/>
      <c r="Z126" s="14"/>
    </row>
    <row r="127" ht="12.75" customHeight="1">
      <c r="A127" s="26" t="s">
        <v>151</v>
      </c>
      <c r="B127" s="26" t="s">
        <v>35</v>
      </c>
      <c r="C127" s="26" t="s">
        <v>36</v>
      </c>
      <c r="D127" s="27">
        <v>927.0</v>
      </c>
      <c r="E127" s="28">
        <v>1.1933575E8</v>
      </c>
      <c r="F127" s="27">
        <v>0.0</v>
      </c>
      <c r="G127" s="28">
        <v>0.0</v>
      </c>
      <c r="H127" s="27">
        <v>927.0</v>
      </c>
      <c r="I127" s="28">
        <v>1.1933575E8</v>
      </c>
      <c r="J127" s="29">
        <f t="shared" si="2"/>
        <v>128733.2794</v>
      </c>
      <c r="K127" s="30">
        <f t="shared" ref="K127:L127" si="125">H127/12</f>
        <v>77.25</v>
      </c>
      <c r="L127" s="31">
        <f t="shared" si="125"/>
        <v>9944645.833</v>
      </c>
      <c r="M127" s="32">
        <v>2957.0</v>
      </c>
      <c r="N127" s="33">
        <f t="shared" si="4"/>
        <v>231.75</v>
      </c>
      <c r="O127" s="34">
        <f t="shared" si="5"/>
        <v>-2725.25</v>
      </c>
      <c r="P127" s="35" t="str">
        <f t="shared" si="6"/>
        <v/>
      </c>
      <c r="Q127" s="36"/>
      <c r="R127" s="14"/>
      <c r="S127" s="14"/>
      <c r="T127" s="14"/>
      <c r="U127" s="14"/>
      <c r="V127" s="14"/>
      <c r="W127" s="14"/>
      <c r="X127" s="14"/>
      <c r="Y127" s="14"/>
      <c r="Z127" s="14"/>
    </row>
    <row r="128" ht="12.75" customHeight="1">
      <c r="A128" s="26" t="s">
        <v>152</v>
      </c>
      <c r="B128" s="26" t="s">
        <v>48</v>
      </c>
      <c r="C128" s="26" t="s">
        <v>20</v>
      </c>
      <c r="D128" s="27">
        <v>59.0</v>
      </c>
      <c r="E128" s="28">
        <v>1.169E8</v>
      </c>
      <c r="F128" s="27">
        <v>0.0</v>
      </c>
      <c r="G128" s="28">
        <v>0.0</v>
      </c>
      <c r="H128" s="27">
        <v>59.0</v>
      </c>
      <c r="I128" s="28">
        <v>1.169E8</v>
      </c>
      <c r="J128" s="29">
        <f t="shared" si="2"/>
        <v>1981355.932</v>
      </c>
      <c r="K128" s="30">
        <f t="shared" ref="K128:L128" si="126">H128/12</f>
        <v>4.916666667</v>
      </c>
      <c r="L128" s="31">
        <f t="shared" si="126"/>
        <v>9741666.667</v>
      </c>
      <c r="M128" s="32">
        <v>0.0</v>
      </c>
      <c r="N128" s="33">
        <f t="shared" si="4"/>
        <v>14.75</v>
      </c>
      <c r="O128" s="34">
        <f t="shared" si="5"/>
        <v>14.75</v>
      </c>
      <c r="P128" s="35">
        <f t="shared" si="6"/>
        <v>14.75</v>
      </c>
      <c r="Q128" s="36"/>
      <c r="R128" s="14"/>
      <c r="S128" s="14"/>
      <c r="T128" s="14"/>
      <c r="U128" s="14"/>
      <c r="V128" s="14"/>
      <c r="W128" s="14"/>
      <c r="X128" s="14"/>
      <c r="Y128" s="14"/>
      <c r="Z128" s="14"/>
    </row>
    <row r="129" ht="12.75" customHeight="1">
      <c r="A129" s="26" t="s">
        <v>153</v>
      </c>
      <c r="B129" s="26" t="s">
        <v>31</v>
      </c>
      <c r="C129" s="26" t="s">
        <v>20</v>
      </c>
      <c r="D129" s="27">
        <v>75.0</v>
      </c>
      <c r="E129" s="28">
        <v>1.144212E8</v>
      </c>
      <c r="F129" s="27">
        <v>0.0</v>
      </c>
      <c r="G129" s="28">
        <v>0.0</v>
      </c>
      <c r="H129" s="27">
        <v>75.0</v>
      </c>
      <c r="I129" s="28">
        <v>1.144212E8</v>
      </c>
      <c r="J129" s="29">
        <f t="shared" si="2"/>
        <v>1525616</v>
      </c>
      <c r="K129" s="30">
        <f t="shared" ref="K129:L129" si="127">H129/12</f>
        <v>6.25</v>
      </c>
      <c r="L129" s="31">
        <f t="shared" si="127"/>
        <v>9535100</v>
      </c>
      <c r="M129" s="37">
        <v>31.0</v>
      </c>
      <c r="N129" s="33">
        <f t="shared" si="4"/>
        <v>18.75</v>
      </c>
      <c r="O129" s="34">
        <f t="shared" si="5"/>
        <v>-12.25</v>
      </c>
      <c r="P129" s="35" t="str">
        <f t="shared" si="6"/>
        <v/>
      </c>
      <c r="Q129" s="36"/>
      <c r="R129" s="14"/>
      <c r="S129" s="14"/>
      <c r="T129" s="14"/>
      <c r="U129" s="14"/>
      <c r="V129" s="14"/>
      <c r="W129" s="14"/>
      <c r="X129" s="14"/>
      <c r="Y129" s="14"/>
      <c r="Z129" s="14"/>
    </row>
    <row r="130" ht="12.75" customHeight="1">
      <c r="A130" s="26" t="s">
        <v>154</v>
      </c>
      <c r="B130" s="26" t="s">
        <v>35</v>
      </c>
      <c r="C130" s="26" t="s">
        <v>36</v>
      </c>
      <c r="D130" s="27">
        <v>893.0</v>
      </c>
      <c r="E130" s="28">
        <v>1.138453E8</v>
      </c>
      <c r="F130" s="27">
        <v>0.0</v>
      </c>
      <c r="G130" s="28">
        <v>0.0</v>
      </c>
      <c r="H130" s="27">
        <v>893.0</v>
      </c>
      <c r="I130" s="28">
        <v>1.138453E8</v>
      </c>
      <c r="J130" s="29">
        <f t="shared" si="2"/>
        <v>127486.3382</v>
      </c>
      <c r="K130" s="30">
        <f t="shared" ref="K130:L130" si="128">H130/12</f>
        <v>74.41666667</v>
      </c>
      <c r="L130" s="31">
        <f t="shared" si="128"/>
        <v>9487108.333</v>
      </c>
      <c r="M130" s="37">
        <v>1819.0</v>
      </c>
      <c r="N130" s="33">
        <f t="shared" si="4"/>
        <v>223.25</v>
      </c>
      <c r="O130" s="34">
        <f t="shared" si="5"/>
        <v>-1595.75</v>
      </c>
      <c r="P130" s="35" t="str">
        <f t="shared" si="6"/>
        <v/>
      </c>
      <c r="Q130" s="36"/>
      <c r="R130" s="14"/>
      <c r="S130" s="14"/>
      <c r="T130" s="14"/>
      <c r="U130" s="14"/>
      <c r="V130" s="14"/>
      <c r="W130" s="14"/>
      <c r="X130" s="14"/>
      <c r="Y130" s="14"/>
      <c r="Z130" s="14"/>
    </row>
    <row r="131" ht="12.75" customHeight="1">
      <c r="A131" s="26" t="s">
        <v>155</v>
      </c>
      <c r="B131" s="26" t="s">
        <v>48</v>
      </c>
      <c r="C131" s="26" t="s">
        <v>20</v>
      </c>
      <c r="D131" s="27">
        <v>52.0</v>
      </c>
      <c r="E131" s="28">
        <v>1.10381E8</v>
      </c>
      <c r="F131" s="27">
        <v>0.0</v>
      </c>
      <c r="G131" s="28">
        <v>0.0</v>
      </c>
      <c r="H131" s="27">
        <v>52.0</v>
      </c>
      <c r="I131" s="28">
        <v>1.10381E8</v>
      </c>
      <c r="J131" s="29">
        <f t="shared" si="2"/>
        <v>2122711.538</v>
      </c>
      <c r="K131" s="30">
        <f t="shared" ref="K131:L131" si="129">H131/12</f>
        <v>4.333333333</v>
      </c>
      <c r="L131" s="31">
        <f t="shared" si="129"/>
        <v>9198416.667</v>
      </c>
      <c r="M131" s="32">
        <v>0.0</v>
      </c>
      <c r="N131" s="33">
        <f t="shared" si="4"/>
        <v>13</v>
      </c>
      <c r="O131" s="34">
        <f t="shared" si="5"/>
        <v>13</v>
      </c>
      <c r="P131" s="35">
        <f t="shared" si="6"/>
        <v>13</v>
      </c>
      <c r="Q131" s="36"/>
      <c r="R131" s="14"/>
      <c r="S131" s="14"/>
      <c r="T131" s="14"/>
      <c r="U131" s="14"/>
      <c r="V131" s="14"/>
      <c r="W131" s="14"/>
      <c r="X131" s="14"/>
      <c r="Y131" s="14"/>
      <c r="Z131" s="14"/>
    </row>
    <row r="132" ht="12.75" customHeight="1">
      <c r="A132" s="26" t="s">
        <v>156</v>
      </c>
      <c r="B132" s="26" t="s">
        <v>19</v>
      </c>
      <c r="C132" s="26" t="s">
        <v>20</v>
      </c>
      <c r="D132" s="27">
        <v>147.0</v>
      </c>
      <c r="E132" s="28">
        <v>1.029266E8</v>
      </c>
      <c r="F132" s="27">
        <v>0.0</v>
      </c>
      <c r="G132" s="28">
        <v>0.0</v>
      </c>
      <c r="H132" s="27">
        <v>147.0</v>
      </c>
      <c r="I132" s="28">
        <v>1.029266E8</v>
      </c>
      <c r="J132" s="29">
        <f t="shared" si="2"/>
        <v>700180.9524</v>
      </c>
      <c r="K132" s="30">
        <f t="shared" ref="K132:L132" si="130">H132/12</f>
        <v>12.25</v>
      </c>
      <c r="L132" s="31">
        <f t="shared" si="130"/>
        <v>8577216.667</v>
      </c>
      <c r="M132" s="37">
        <v>0.0</v>
      </c>
      <c r="N132" s="33">
        <f t="shared" si="4"/>
        <v>36.75</v>
      </c>
      <c r="O132" s="34">
        <f t="shared" si="5"/>
        <v>36.75</v>
      </c>
      <c r="P132" s="35">
        <f t="shared" si="6"/>
        <v>36.75</v>
      </c>
      <c r="Q132" s="36"/>
      <c r="R132" s="14"/>
      <c r="S132" s="14"/>
      <c r="T132" s="14"/>
      <c r="U132" s="14"/>
      <c r="V132" s="14"/>
      <c r="W132" s="14"/>
      <c r="X132" s="14"/>
      <c r="Y132" s="14"/>
      <c r="Z132" s="14"/>
    </row>
    <row r="133" ht="12.75" customHeight="1">
      <c r="A133" s="26" t="s">
        <v>157</v>
      </c>
      <c r="B133" s="26" t="s">
        <v>22</v>
      </c>
      <c r="C133" s="26" t="s">
        <v>20</v>
      </c>
      <c r="D133" s="27">
        <v>55.0</v>
      </c>
      <c r="E133" s="28">
        <v>1.02228E8</v>
      </c>
      <c r="F133" s="27">
        <v>0.0</v>
      </c>
      <c r="G133" s="28">
        <v>0.0</v>
      </c>
      <c r="H133" s="27">
        <v>55.0</v>
      </c>
      <c r="I133" s="28">
        <v>1.02228E8</v>
      </c>
      <c r="J133" s="29">
        <f t="shared" si="2"/>
        <v>1858690.909</v>
      </c>
      <c r="K133" s="30">
        <f t="shared" ref="K133:L133" si="131">H133/12</f>
        <v>4.583333333</v>
      </c>
      <c r="L133" s="31">
        <f t="shared" si="131"/>
        <v>8519000</v>
      </c>
      <c r="M133" s="32">
        <v>2.0</v>
      </c>
      <c r="N133" s="33">
        <f t="shared" si="4"/>
        <v>13.75</v>
      </c>
      <c r="O133" s="34">
        <f t="shared" si="5"/>
        <v>11.75</v>
      </c>
      <c r="P133" s="35">
        <f t="shared" si="6"/>
        <v>11.75</v>
      </c>
      <c r="Q133" s="36"/>
      <c r="R133" s="14"/>
      <c r="S133" s="14"/>
      <c r="T133" s="14"/>
      <c r="U133" s="14"/>
      <c r="V133" s="14"/>
      <c r="W133" s="14"/>
      <c r="X133" s="14"/>
      <c r="Y133" s="14"/>
      <c r="Z133" s="14"/>
    </row>
    <row r="134" ht="12.75" customHeight="1">
      <c r="A134" s="26" t="s">
        <v>158</v>
      </c>
      <c r="B134" s="26" t="s">
        <v>46</v>
      </c>
      <c r="C134" s="26" t="s">
        <v>20</v>
      </c>
      <c r="D134" s="27">
        <v>40.0</v>
      </c>
      <c r="E134" s="28">
        <v>9.67415E7</v>
      </c>
      <c r="F134" s="27">
        <v>0.0</v>
      </c>
      <c r="G134" s="28">
        <v>0.0</v>
      </c>
      <c r="H134" s="27">
        <v>40.0</v>
      </c>
      <c r="I134" s="28">
        <v>9.67415E7</v>
      </c>
      <c r="J134" s="29">
        <f t="shared" si="2"/>
        <v>2418537.5</v>
      </c>
      <c r="K134" s="30">
        <f t="shared" ref="K134:L134" si="132">H134/12</f>
        <v>3.333333333</v>
      </c>
      <c r="L134" s="31">
        <f t="shared" si="132"/>
        <v>8061791.667</v>
      </c>
      <c r="M134" s="32">
        <v>0.0</v>
      </c>
      <c r="N134" s="33">
        <f t="shared" si="4"/>
        <v>10</v>
      </c>
      <c r="O134" s="34">
        <f t="shared" si="5"/>
        <v>10</v>
      </c>
      <c r="P134" s="35">
        <f t="shared" si="6"/>
        <v>10</v>
      </c>
      <c r="Q134" s="36"/>
      <c r="R134" s="14"/>
      <c r="S134" s="14"/>
      <c r="T134" s="14"/>
      <c r="U134" s="14"/>
      <c r="V134" s="14"/>
      <c r="W134" s="14"/>
      <c r="X134" s="14"/>
      <c r="Y134" s="14"/>
      <c r="Z134" s="14"/>
    </row>
    <row r="135" ht="12.75" customHeight="1">
      <c r="A135" s="26" t="s">
        <v>159</v>
      </c>
      <c r="B135" s="26" t="s">
        <v>19</v>
      </c>
      <c r="C135" s="26" t="s">
        <v>20</v>
      </c>
      <c r="D135" s="27">
        <v>127.0</v>
      </c>
      <c r="E135" s="28">
        <v>9.66631E7</v>
      </c>
      <c r="F135" s="27">
        <v>0.0</v>
      </c>
      <c r="G135" s="28">
        <v>0.0</v>
      </c>
      <c r="H135" s="27">
        <v>127.0</v>
      </c>
      <c r="I135" s="28">
        <v>9.66631E7</v>
      </c>
      <c r="J135" s="29">
        <f t="shared" si="2"/>
        <v>761126.7717</v>
      </c>
      <c r="K135" s="30">
        <f t="shared" ref="K135:L135" si="133">H135/12</f>
        <v>10.58333333</v>
      </c>
      <c r="L135" s="31">
        <f t="shared" si="133"/>
        <v>8055258.333</v>
      </c>
      <c r="M135" s="32">
        <v>2.0</v>
      </c>
      <c r="N135" s="33">
        <f t="shared" si="4"/>
        <v>31.75</v>
      </c>
      <c r="O135" s="34">
        <f t="shared" si="5"/>
        <v>29.75</v>
      </c>
      <c r="P135" s="35">
        <f t="shared" si="6"/>
        <v>29.75</v>
      </c>
      <c r="Q135" s="36"/>
      <c r="R135" s="14"/>
      <c r="S135" s="14"/>
      <c r="T135" s="14"/>
      <c r="U135" s="14"/>
      <c r="V135" s="14"/>
      <c r="W135" s="14"/>
      <c r="X135" s="14"/>
      <c r="Y135" s="14"/>
      <c r="Z135" s="14"/>
    </row>
    <row r="136" ht="12.75" customHeight="1">
      <c r="A136" s="26" t="s">
        <v>160</v>
      </c>
      <c r="B136" s="26" t="s">
        <v>48</v>
      </c>
      <c r="C136" s="26" t="s">
        <v>20</v>
      </c>
      <c r="D136" s="27">
        <v>36.0</v>
      </c>
      <c r="E136" s="28">
        <v>9.6633E7</v>
      </c>
      <c r="F136" s="27">
        <v>0.0</v>
      </c>
      <c r="G136" s="28">
        <v>0.0</v>
      </c>
      <c r="H136" s="27">
        <v>36.0</v>
      </c>
      <c r="I136" s="28">
        <v>9.6633E7</v>
      </c>
      <c r="J136" s="29">
        <f t="shared" si="2"/>
        <v>2684250</v>
      </c>
      <c r="K136" s="30">
        <f t="shared" ref="K136:L136" si="134">H136/12</f>
        <v>3</v>
      </c>
      <c r="L136" s="31">
        <f t="shared" si="134"/>
        <v>8052750</v>
      </c>
      <c r="M136" s="37">
        <v>42.0</v>
      </c>
      <c r="N136" s="33">
        <f t="shared" si="4"/>
        <v>9</v>
      </c>
      <c r="O136" s="34">
        <f t="shared" si="5"/>
        <v>-33</v>
      </c>
      <c r="P136" s="35" t="str">
        <f t="shared" si="6"/>
        <v/>
      </c>
      <c r="Q136" s="36"/>
      <c r="R136" s="14"/>
      <c r="S136" s="14"/>
      <c r="T136" s="14"/>
      <c r="U136" s="14"/>
      <c r="V136" s="14"/>
      <c r="W136" s="14"/>
      <c r="X136" s="14"/>
      <c r="Y136" s="14"/>
      <c r="Z136" s="14"/>
    </row>
    <row r="137" ht="12.75" customHeight="1">
      <c r="A137" s="26" t="s">
        <v>161</v>
      </c>
      <c r="B137" s="26" t="s">
        <v>56</v>
      </c>
      <c r="C137" s="26" t="s">
        <v>20</v>
      </c>
      <c r="D137" s="27">
        <v>131.0</v>
      </c>
      <c r="E137" s="28">
        <v>9.59213E7</v>
      </c>
      <c r="F137" s="27">
        <v>0.0</v>
      </c>
      <c r="G137" s="28">
        <v>0.0</v>
      </c>
      <c r="H137" s="27">
        <v>131.0</v>
      </c>
      <c r="I137" s="28">
        <v>9.59213E7</v>
      </c>
      <c r="J137" s="29">
        <f t="shared" si="2"/>
        <v>732223.6641</v>
      </c>
      <c r="K137" s="30">
        <f t="shared" ref="K137:L137" si="135">H137/12</f>
        <v>10.91666667</v>
      </c>
      <c r="L137" s="31">
        <f t="shared" si="135"/>
        <v>7993441.667</v>
      </c>
      <c r="M137" s="37">
        <v>12.0</v>
      </c>
      <c r="N137" s="33">
        <f t="shared" si="4"/>
        <v>32.75</v>
      </c>
      <c r="O137" s="34">
        <f t="shared" si="5"/>
        <v>20.75</v>
      </c>
      <c r="P137" s="35">
        <f t="shared" si="6"/>
        <v>20.75</v>
      </c>
      <c r="Q137" s="36"/>
      <c r="R137" s="14"/>
      <c r="S137" s="14"/>
      <c r="T137" s="14"/>
      <c r="U137" s="14"/>
      <c r="V137" s="14"/>
      <c r="W137" s="14"/>
      <c r="X137" s="14"/>
      <c r="Y137" s="14"/>
      <c r="Z137" s="14"/>
    </row>
    <row r="138" ht="12.75" customHeight="1">
      <c r="A138" s="26" t="s">
        <v>162</v>
      </c>
      <c r="B138" s="26" t="s">
        <v>22</v>
      </c>
      <c r="C138" s="26" t="s">
        <v>20</v>
      </c>
      <c r="D138" s="27">
        <v>42.0</v>
      </c>
      <c r="E138" s="28">
        <v>9.53345E7</v>
      </c>
      <c r="F138" s="27">
        <v>0.0</v>
      </c>
      <c r="G138" s="28">
        <v>0.0</v>
      </c>
      <c r="H138" s="27">
        <v>42.0</v>
      </c>
      <c r="I138" s="28">
        <v>9.53345E7</v>
      </c>
      <c r="J138" s="29">
        <f t="shared" si="2"/>
        <v>2269869.048</v>
      </c>
      <c r="K138" s="30">
        <f t="shared" ref="K138:L138" si="136">H138/12</f>
        <v>3.5</v>
      </c>
      <c r="L138" s="31">
        <f t="shared" si="136"/>
        <v>7944541.667</v>
      </c>
      <c r="M138" s="32">
        <v>1.0</v>
      </c>
      <c r="N138" s="33">
        <f t="shared" si="4"/>
        <v>10.5</v>
      </c>
      <c r="O138" s="34">
        <f t="shared" si="5"/>
        <v>9.5</v>
      </c>
      <c r="P138" s="35">
        <f t="shared" si="6"/>
        <v>9.5</v>
      </c>
      <c r="Q138" s="36"/>
      <c r="R138" s="14"/>
      <c r="S138" s="14"/>
      <c r="T138" s="14"/>
      <c r="U138" s="14"/>
      <c r="V138" s="14"/>
      <c r="W138" s="14"/>
      <c r="X138" s="14"/>
      <c r="Y138" s="14"/>
      <c r="Z138" s="14"/>
    </row>
    <row r="139" ht="12.75" customHeight="1">
      <c r="A139" s="26" t="s">
        <v>163</v>
      </c>
      <c r="B139" s="26" t="s">
        <v>93</v>
      </c>
      <c r="C139" s="26" t="s">
        <v>20</v>
      </c>
      <c r="D139" s="27">
        <v>111.0</v>
      </c>
      <c r="E139" s="28">
        <v>9.3648E7</v>
      </c>
      <c r="F139" s="27">
        <v>0.0</v>
      </c>
      <c r="G139" s="28">
        <v>0.0</v>
      </c>
      <c r="H139" s="27">
        <v>111.0</v>
      </c>
      <c r="I139" s="28">
        <v>9.3648E7</v>
      </c>
      <c r="J139" s="29">
        <f t="shared" si="2"/>
        <v>843675.6757</v>
      </c>
      <c r="K139" s="30">
        <f t="shared" ref="K139:L139" si="137">H139/12</f>
        <v>9.25</v>
      </c>
      <c r="L139" s="31">
        <f t="shared" si="137"/>
        <v>7804000</v>
      </c>
      <c r="M139" s="32">
        <v>0.0</v>
      </c>
      <c r="N139" s="33">
        <f t="shared" si="4"/>
        <v>27.75</v>
      </c>
      <c r="O139" s="34">
        <f t="shared" si="5"/>
        <v>27.75</v>
      </c>
      <c r="P139" s="35">
        <f t="shared" si="6"/>
        <v>27.75</v>
      </c>
      <c r="Q139" s="36"/>
      <c r="R139" s="14"/>
      <c r="S139" s="14"/>
      <c r="T139" s="14"/>
      <c r="U139" s="14"/>
      <c r="V139" s="14"/>
      <c r="W139" s="14"/>
      <c r="X139" s="14"/>
      <c r="Y139" s="14"/>
      <c r="Z139" s="14"/>
    </row>
    <row r="140" ht="12.75" customHeight="1">
      <c r="A140" s="26" t="s">
        <v>164</v>
      </c>
      <c r="B140" s="26" t="s">
        <v>22</v>
      </c>
      <c r="C140" s="26" t="s">
        <v>20</v>
      </c>
      <c r="D140" s="27">
        <v>40.0</v>
      </c>
      <c r="E140" s="28">
        <v>9.30965E7</v>
      </c>
      <c r="F140" s="27">
        <v>0.0</v>
      </c>
      <c r="G140" s="28">
        <v>0.0</v>
      </c>
      <c r="H140" s="27">
        <v>40.0</v>
      </c>
      <c r="I140" s="28">
        <v>9.30965E7</v>
      </c>
      <c r="J140" s="29">
        <f t="shared" si="2"/>
        <v>2327412.5</v>
      </c>
      <c r="K140" s="30">
        <f t="shared" ref="K140:L140" si="138">H140/12</f>
        <v>3.333333333</v>
      </c>
      <c r="L140" s="31">
        <f t="shared" si="138"/>
        <v>7758041.667</v>
      </c>
      <c r="M140" s="32">
        <v>7.0</v>
      </c>
      <c r="N140" s="33">
        <f t="shared" si="4"/>
        <v>10</v>
      </c>
      <c r="O140" s="34">
        <f t="shared" si="5"/>
        <v>3</v>
      </c>
      <c r="P140" s="35">
        <f t="shared" si="6"/>
        <v>3</v>
      </c>
      <c r="Q140" s="36"/>
      <c r="R140" s="14"/>
      <c r="S140" s="14"/>
      <c r="T140" s="14"/>
      <c r="U140" s="14"/>
      <c r="V140" s="14"/>
      <c r="W140" s="14"/>
      <c r="X140" s="14"/>
      <c r="Y140" s="14"/>
      <c r="Z140" s="14"/>
    </row>
    <row r="141" ht="12.75" customHeight="1">
      <c r="A141" s="26" t="s">
        <v>165</v>
      </c>
      <c r="B141" s="26" t="s">
        <v>93</v>
      </c>
      <c r="C141" s="26" t="s">
        <v>20</v>
      </c>
      <c r="D141" s="27">
        <v>128.0</v>
      </c>
      <c r="E141" s="28">
        <v>9.27014E7</v>
      </c>
      <c r="F141" s="27">
        <v>0.0</v>
      </c>
      <c r="G141" s="28">
        <v>0.0</v>
      </c>
      <c r="H141" s="27">
        <v>128.0</v>
      </c>
      <c r="I141" s="28">
        <v>9.27014E7</v>
      </c>
      <c r="J141" s="29">
        <f t="shared" si="2"/>
        <v>724229.6875</v>
      </c>
      <c r="K141" s="30">
        <f t="shared" ref="K141:L141" si="139">H141/12</f>
        <v>10.66666667</v>
      </c>
      <c r="L141" s="31">
        <f t="shared" si="139"/>
        <v>7725116.667</v>
      </c>
      <c r="M141" s="32">
        <v>0.0</v>
      </c>
      <c r="N141" s="33">
        <f t="shared" si="4"/>
        <v>32</v>
      </c>
      <c r="O141" s="34">
        <f t="shared" si="5"/>
        <v>32</v>
      </c>
      <c r="P141" s="35">
        <f t="shared" si="6"/>
        <v>32</v>
      </c>
      <c r="Q141" s="36"/>
      <c r="R141" s="14"/>
      <c r="S141" s="14"/>
      <c r="T141" s="14"/>
      <c r="U141" s="14"/>
      <c r="V141" s="14"/>
      <c r="W141" s="14"/>
      <c r="X141" s="14"/>
      <c r="Y141" s="14"/>
      <c r="Z141" s="14"/>
    </row>
    <row r="142" ht="12.75" customHeight="1">
      <c r="A142" s="26" t="s">
        <v>166</v>
      </c>
      <c r="B142" s="26" t="s">
        <v>19</v>
      </c>
      <c r="C142" s="26" t="s">
        <v>20</v>
      </c>
      <c r="D142" s="27">
        <v>108.0</v>
      </c>
      <c r="E142" s="28">
        <v>9.23183E7</v>
      </c>
      <c r="F142" s="27">
        <v>0.0</v>
      </c>
      <c r="G142" s="28">
        <v>0.0</v>
      </c>
      <c r="H142" s="27">
        <v>108.0</v>
      </c>
      <c r="I142" s="28">
        <v>9.23183E7</v>
      </c>
      <c r="J142" s="29">
        <f t="shared" si="2"/>
        <v>854799.0741</v>
      </c>
      <c r="K142" s="30">
        <f t="shared" ref="K142:L142" si="140">H142/12</f>
        <v>9</v>
      </c>
      <c r="L142" s="31">
        <f t="shared" si="140"/>
        <v>7693191.667</v>
      </c>
      <c r="M142" s="37">
        <v>94.0</v>
      </c>
      <c r="N142" s="33">
        <f t="shared" si="4"/>
        <v>27</v>
      </c>
      <c r="O142" s="34">
        <f t="shared" si="5"/>
        <v>-67</v>
      </c>
      <c r="P142" s="35" t="str">
        <f t="shared" si="6"/>
        <v/>
      </c>
      <c r="Q142" s="36"/>
      <c r="R142" s="14"/>
      <c r="S142" s="14"/>
      <c r="T142" s="14"/>
      <c r="U142" s="14"/>
      <c r="V142" s="14"/>
      <c r="W142" s="14"/>
      <c r="X142" s="14"/>
      <c r="Y142" s="14"/>
      <c r="Z142" s="14"/>
    </row>
    <row r="143" ht="12.75" customHeight="1">
      <c r="A143" s="26" t="s">
        <v>167</v>
      </c>
      <c r="B143" s="26" t="s">
        <v>48</v>
      </c>
      <c r="C143" s="26" t="s">
        <v>20</v>
      </c>
      <c r="D143" s="27">
        <v>69.0</v>
      </c>
      <c r="E143" s="28">
        <v>8.67273E7</v>
      </c>
      <c r="F143" s="27">
        <v>0.0</v>
      </c>
      <c r="G143" s="28">
        <v>0.0</v>
      </c>
      <c r="H143" s="27">
        <v>69.0</v>
      </c>
      <c r="I143" s="28">
        <v>8.67273E7</v>
      </c>
      <c r="J143" s="29">
        <f t="shared" si="2"/>
        <v>1256917.391</v>
      </c>
      <c r="K143" s="30">
        <f t="shared" ref="K143:L143" si="141">H143/12</f>
        <v>5.75</v>
      </c>
      <c r="L143" s="31">
        <f t="shared" si="141"/>
        <v>7227275</v>
      </c>
      <c r="M143" s="32">
        <v>0.0</v>
      </c>
      <c r="N143" s="33">
        <f t="shared" si="4"/>
        <v>17.25</v>
      </c>
      <c r="O143" s="34">
        <f t="shared" si="5"/>
        <v>17.25</v>
      </c>
      <c r="P143" s="35">
        <f t="shared" si="6"/>
        <v>17.25</v>
      </c>
      <c r="Q143" s="36"/>
      <c r="R143" s="14"/>
      <c r="S143" s="14"/>
      <c r="T143" s="14"/>
      <c r="U143" s="14"/>
      <c r="V143" s="14"/>
      <c r="W143" s="14"/>
      <c r="X143" s="14"/>
      <c r="Y143" s="14"/>
      <c r="Z143" s="14"/>
    </row>
    <row r="144" ht="12.75" customHeight="1">
      <c r="A144" s="26" t="s">
        <v>168</v>
      </c>
      <c r="B144" s="26" t="s">
        <v>169</v>
      </c>
      <c r="C144" s="26" t="s">
        <v>36</v>
      </c>
      <c r="D144" s="27">
        <v>1161.0</v>
      </c>
      <c r="E144" s="28">
        <v>8.508225E7</v>
      </c>
      <c r="F144" s="27">
        <v>0.0</v>
      </c>
      <c r="G144" s="28">
        <v>0.0</v>
      </c>
      <c r="H144" s="27">
        <v>1161.0</v>
      </c>
      <c r="I144" s="28">
        <v>8.508225E7</v>
      </c>
      <c r="J144" s="29">
        <f t="shared" si="2"/>
        <v>73283.59173</v>
      </c>
      <c r="K144" s="30">
        <f t="shared" ref="K144:L144" si="142">H144/12</f>
        <v>96.75</v>
      </c>
      <c r="L144" s="31">
        <f t="shared" si="142"/>
        <v>7090187.5</v>
      </c>
      <c r="M144" s="37">
        <v>170.0</v>
      </c>
      <c r="N144" s="33">
        <f t="shared" si="4"/>
        <v>290.25</v>
      </c>
      <c r="O144" s="34">
        <f t="shared" si="5"/>
        <v>120.25</v>
      </c>
      <c r="P144" s="35">
        <f t="shared" si="6"/>
        <v>120.25</v>
      </c>
      <c r="Q144" s="36"/>
      <c r="R144" s="14"/>
      <c r="S144" s="14"/>
      <c r="T144" s="14"/>
      <c r="U144" s="14"/>
      <c r="V144" s="14"/>
      <c r="W144" s="14"/>
      <c r="X144" s="14"/>
      <c r="Y144" s="14"/>
      <c r="Z144" s="14"/>
    </row>
    <row r="145" ht="12.75" customHeight="1">
      <c r="A145" s="26" t="s">
        <v>170</v>
      </c>
      <c r="B145" s="26" t="s">
        <v>46</v>
      </c>
      <c r="C145" s="26" t="s">
        <v>20</v>
      </c>
      <c r="D145" s="27">
        <v>33.0</v>
      </c>
      <c r="E145" s="28">
        <v>8.31297E7</v>
      </c>
      <c r="F145" s="27">
        <v>0.0</v>
      </c>
      <c r="G145" s="28">
        <v>0.0</v>
      </c>
      <c r="H145" s="27">
        <v>33.0</v>
      </c>
      <c r="I145" s="28">
        <v>8.31297E7</v>
      </c>
      <c r="J145" s="29">
        <f t="shared" si="2"/>
        <v>2519081.818</v>
      </c>
      <c r="K145" s="30">
        <f t="shared" ref="K145:L145" si="143">H145/12</f>
        <v>2.75</v>
      </c>
      <c r="L145" s="31">
        <f t="shared" si="143"/>
        <v>6927475</v>
      </c>
      <c r="M145" s="37">
        <v>7.0</v>
      </c>
      <c r="N145" s="33">
        <f t="shared" si="4"/>
        <v>8.25</v>
      </c>
      <c r="O145" s="34">
        <f t="shared" si="5"/>
        <v>1.25</v>
      </c>
      <c r="P145" s="35">
        <f t="shared" si="6"/>
        <v>1.25</v>
      </c>
      <c r="Q145" s="36"/>
      <c r="R145" s="14"/>
      <c r="S145" s="14"/>
      <c r="T145" s="14"/>
      <c r="U145" s="14"/>
      <c r="V145" s="14"/>
      <c r="W145" s="14"/>
      <c r="X145" s="14"/>
      <c r="Y145" s="14"/>
      <c r="Z145" s="14"/>
    </row>
    <row r="146" ht="12.75" customHeight="1">
      <c r="A146" s="26" t="s">
        <v>171</v>
      </c>
      <c r="B146" s="26" t="s">
        <v>22</v>
      </c>
      <c r="C146" s="26" t="s">
        <v>20</v>
      </c>
      <c r="D146" s="27">
        <v>54.0</v>
      </c>
      <c r="E146" s="28">
        <v>8.299945E7</v>
      </c>
      <c r="F146" s="27">
        <v>0.0</v>
      </c>
      <c r="G146" s="28">
        <v>0.0</v>
      </c>
      <c r="H146" s="27">
        <v>54.0</v>
      </c>
      <c r="I146" s="28">
        <v>8.299945E7</v>
      </c>
      <c r="J146" s="29">
        <f t="shared" si="2"/>
        <v>1537026.852</v>
      </c>
      <c r="K146" s="30">
        <f t="shared" ref="K146:L146" si="144">H146/12</f>
        <v>4.5</v>
      </c>
      <c r="L146" s="31">
        <f t="shared" si="144"/>
        <v>6916620.833</v>
      </c>
      <c r="M146" s="32">
        <v>0.0</v>
      </c>
      <c r="N146" s="33">
        <f t="shared" si="4"/>
        <v>13.5</v>
      </c>
      <c r="O146" s="34">
        <f t="shared" si="5"/>
        <v>13.5</v>
      </c>
      <c r="P146" s="35">
        <f t="shared" si="6"/>
        <v>13.5</v>
      </c>
      <c r="Q146" s="36"/>
      <c r="R146" s="14"/>
      <c r="S146" s="14"/>
      <c r="T146" s="14"/>
      <c r="U146" s="14"/>
      <c r="V146" s="14"/>
      <c r="W146" s="14"/>
      <c r="X146" s="14"/>
      <c r="Y146" s="14"/>
      <c r="Z146" s="14"/>
    </row>
    <row r="147" ht="12.75" customHeight="1">
      <c r="A147" s="26" t="s">
        <v>172</v>
      </c>
      <c r="B147" s="26" t="s">
        <v>22</v>
      </c>
      <c r="C147" s="26" t="s">
        <v>20</v>
      </c>
      <c r="D147" s="27">
        <v>55.0</v>
      </c>
      <c r="E147" s="28">
        <v>7.98005E7</v>
      </c>
      <c r="F147" s="27">
        <v>0.0</v>
      </c>
      <c r="G147" s="28">
        <v>0.0</v>
      </c>
      <c r="H147" s="27">
        <v>55.0</v>
      </c>
      <c r="I147" s="28">
        <v>7.98005E7</v>
      </c>
      <c r="J147" s="29">
        <f t="shared" si="2"/>
        <v>1450918.182</v>
      </c>
      <c r="K147" s="30">
        <f t="shared" ref="K147:L147" si="145">H147/12</f>
        <v>4.583333333</v>
      </c>
      <c r="L147" s="31">
        <f t="shared" si="145"/>
        <v>6650041.667</v>
      </c>
      <c r="M147" s="37">
        <v>28.0</v>
      </c>
      <c r="N147" s="33">
        <f t="shared" si="4"/>
        <v>13.75</v>
      </c>
      <c r="O147" s="34">
        <f t="shared" si="5"/>
        <v>-14.25</v>
      </c>
      <c r="P147" s="35" t="str">
        <f t="shared" si="6"/>
        <v/>
      </c>
      <c r="Q147" s="36"/>
      <c r="R147" s="14"/>
      <c r="S147" s="14"/>
      <c r="T147" s="14"/>
      <c r="U147" s="14"/>
      <c r="V147" s="14"/>
      <c r="W147" s="14"/>
      <c r="X147" s="14"/>
      <c r="Y147" s="14"/>
      <c r="Z147" s="14"/>
    </row>
    <row r="148" ht="12.75" customHeight="1">
      <c r="A148" s="26" t="s">
        <v>173</v>
      </c>
      <c r="B148" s="26" t="s">
        <v>169</v>
      </c>
      <c r="C148" s="26" t="s">
        <v>36</v>
      </c>
      <c r="D148" s="27">
        <v>734.0</v>
      </c>
      <c r="E148" s="28">
        <v>7.858175E7</v>
      </c>
      <c r="F148" s="27">
        <v>0.0</v>
      </c>
      <c r="G148" s="28">
        <v>0.0</v>
      </c>
      <c r="H148" s="27">
        <v>734.0</v>
      </c>
      <c r="I148" s="28">
        <v>7.858175E7</v>
      </c>
      <c r="J148" s="29">
        <f t="shared" si="2"/>
        <v>107059.6049</v>
      </c>
      <c r="K148" s="30">
        <f t="shared" ref="K148:L148" si="146">H148/12</f>
        <v>61.16666667</v>
      </c>
      <c r="L148" s="31">
        <f t="shared" si="146"/>
        <v>6548479.167</v>
      </c>
      <c r="M148" s="32">
        <v>80.0</v>
      </c>
      <c r="N148" s="33">
        <f t="shared" si="4"/>
        <v>183.5</v>
      </c>
      <c r="O148" s="34">
        <f t="shared" si="5"/>
        <v>103.5</v>
      </c>
      <c r="P148" s="35">
        <f t="shared" si="6"/>
        <v>103.5</v>
      </c>
      <c r="Q148" s="36"/>
      <c r="R148" s="14"/>
      <c r="S148" s="14"/>
      <c r="T148" s="14"/>
      <c r="U148" s="14"/>
      <c r="V148" s="14"/>
      <c r="W148" s="14"/>
      <c r="X148" s="14"/>
      <c r="Y148" s="14"/>
      <c r="Z148" s="14"/>
    </row>
    <row r="149" ht="12.75" customHeight="1">
      <c r="A149" s="26" t="s">
        <v>174</v>
      </c>
      <c r="B149" s="26" t="s">
        <v>48</v>
      </c>
      <c r="C149" s="26" t="s">
        <v>20</v>
      </c>
      <c r="D149" s="27">
        <v>40.0</v>
      </c>
      <c r="E149" s="28">
        <v>7.8393E7</v>
      </c>
      <c r="F149" s="27">
        <v>0.0</v>
      </c>
      <c r="G149" s="28">
        <v>0.0</v>
      </c>
      <c r="H149" s="27">
        <v>40.0</v>
      </c>
      <c r="I149" s="28">
        <v>7.8393E7</v>
      </c>
      <c r="J149" s="29">
        <f t="shared" si="2"/>
        <v>1959825</v>
      </c>
      <c r="K149" s="30">
        <f t="shared" ref="K149:L149" si="147">H149/12</f>
        <v>3.333333333</v>
      </c>
      <c r="L149" s="31">
        <f t="shared" si="147"/>
        <v>6532750</v>
      </c>
      <c r="M149" s="32">
        <v>41.0</v>
      </c>
      <c r="N149" s="33">
        <f t="shared" si="4"/>
        <v>10</v>
      </c>
      <c r="O149" s="34">
        <f t="shared" si="5"/>
        <v>-31</v>
      </c>
      <c r="P149" s="35" t="str">
        <f t="shared" si="6"/>
        <v/>
      </c>
      <c r="Q149" s="36"/>
      <c r="R149" s="14"/>
      <c r="S149" s="14"/>
      <c r="T149" s="14"/>
      <c r="U149" s="14"/>
      <c r="V149" s="14"/>
      <c r="W149" s="14"/>
      <c r="X149" s="14"/>
      <c r="Y149" s="14"/>
      <c r="Z149" s="14"/>
    </row>
    <row r="150" ht="12.75" customHeight="1">
      <c r="A150" s="26" t="s">
        <v>175</v>
      </c>
      <c r="B150" s="26" t="s">
        <v>35</v>
      </c>
      <c r="C150" s="26" t="s">
        <v>36</v>
      </c>
      <c r="D150" s="27">
        <v>600.0</v>
      </c>
      <c r="E150" s="28">
        <v>7.6302E7</v>
      </c>
      <c r="F150" s="27">
        <v>0.0</v>
      </c>
      <c r="G150" s="28">
        <v>0.0</v>
      </c>
      <c r="H150" s="27">
        <v>600.0</v>
      </c>
      <c r="I150" s="28">
        <v>7.6302E7</v>
      </c>
      <c r="J150" s="29">
        <f t="shared" si="2"/>
        <v>127170</v>
      </c>
      <c r="K150" s="30">
        <f t="shared" ref="K150:L150" si="148">H150/12</f>
        <v>50</v>
      </c>
      <c r="L150" s="31">
        <f t="shared" si="148"/>
        <v>6358500</v>
      </c>
      <c r="M150" s="37">
        <v>0.0</v>
      </c>
      <c r="N150" s="33">
        <f t="shared" si="4"/>
        <v>150</v>
      </c>
      <c r="O150" s="34">
        <f t="shared" si="5"/>
        <v>150</v>
      </c>
      <c r="P150" s="35">
        <f t="shared" si="6"/>
        <v>150</v>
      </c>
      <c r="Q150" s="36"/>
      <c r="R150" s="14"/>
      <c r="S150" s="14"/>
      <c r="T150" s="14"/>
      <c r="U150" s="14"/>
      <c r="V150" s="14"/>
      <c r="W150" s="14"/>
      <c r="X150" s="14"/>
      <c r="Y150" s="14"/>
      <c r="Z150" s="14"/>
    </row>
    <row r="151" ht="12.75" customHeight="1">
      <c r="A151" s="26" t="s">
        <v>176</v>
      </c>
      <c r="B151" s="26" t="s">
        <v>25</v>
      </c>
      <c r="C151" s="26" t="s">
        <v>20</v>
      </c>
      <c r="D151" s="27">
        <v>110.0</v>
      </c>
      <c r="E151" s="28">
        <v>7.5067E7</v>
      </c>
      <c r="F151" s="27">
        <v>0.0</v>
      </c>
      <c r="G151" s="28">
        <v>0.0</v>
      </c>
      <c r="H151" s="27">
        <v>110.0</v>
      </c>
      <c r="I151" s="28">
        <v>7.5067E7</v>
      </c>
      <c r="J151" s="29">
        <f t="shared" si="2"/>
        <v>682427.2727</v>
      </c>
      <c r="K151" s="30">
        <f t="shared" ref="K151:L151" si="149">H151/12</f>
        <v>9.166666667</v>
      </c>
      <c r="L151" s="31">
        <f t="shared" si="149"/>
        <v>6255583.333</v>
      </c>
      <c r="M151" s="32">
        <v>0.0</v>
      </c>
      <c r="N151" s="33">
        <f t="shared" si="4"/>
        <v>27.5</v>
      </c>
      <c r="O151" s="34">
        <f t="shared" si="5"/>
        <v>27.5</v>
      </c>
      <c r="P151" s="35">
        <f t="shared" si="6"/>
        <v>27.5</v>
      </c>
      <c r="Q151" s="36"/>
      <c r="R151" s="14"/>
      <c r="S151" s="14"/>
      <c r="T151" s="14"/>
      <c r="U151" s="14"/>
      <c r="V151" s="14"/>
      <c r="W151" s="14"/>
      <c r="X151" s="14"/>
      <c r="Y151" s="14"/>
      <c r="Z151" s="14"/>
    </row>
    <row r="152" ht="12.75" customHeight="1">
      <c r="A152" s="26" t="s">
        <v>177</v>
      </c>
      <c r="B152" s="26" t="s">
        <v>31</v>
      </c>
      <c r="C152" s="26" t="s">
        <v>20</v>
      </c>
      <c r="D152" s="27">
        <v>52.0</v>
      </c>
      <c r="E152" s="28">
        <v>7.4762E7</v>
      </c>
      <c r="F152" s="27">
        <v>0.0</v>
      </c>
      <c r="G152" s="28">
        <v>0.0</v>
      </c>
      <c r="H152" s="27">
        <v>52.0</v>
      </c>
      <c r="I152" s="28">
        <v>7.4762E7</v>
      </c>
      <c r="J152" s="29">
        <f t="shared" si="2"/>
        <v>1437730.769</v>
      </c>
      <c r="K152" s="30">
        <f t="shared" ref="K152:L152" si="150">H152/12</f>
        <v>4.333333333</v>
      </c>
      <c r="L152" s="31">
        <f t="shared" si="150"/>
        <v>6230166.667</v>
      </c>
      <c r="M152" s="32">
        <v>1.0</v>
      </c>
      <c r="N152" s="33">
        <f t="shared" si="4"/>
        <v>13</v>
      </c>
      <c r="O152" s="34">
        <f t="shared" si="5"/>
        <v>12</v>
      </c>
      <c r="P152" s="35">
        <f t="shared" si="6"/>
        <v>12</v>
      </c>
      <c r="Q152" s="36"/>
      <c r="R152" s="14"/>
      <c r="S152" s="14"/>
      <c r="T152" s="14"/>
      <c r="U152" s="14"/>
      <c r="V152" s="14"/>
      <c r="W152" s="14"/>
      <c r="X152" s="14"/>
      <c r="Y152" s="14"/>
      <c r="Z152" s="14"/>
    </row>
    <row r="153" ht="12.75" customHeight="1">
      <c r="A153" s="26" t="s">
        <v>178</v>
      </c>
      <c r="B153" s="26" t="s">
        <v>31</v>
      </c>
      <c r="C153" s="26" t="s">
        <v>20</v>
      </c>
      <c r="D153" s="27">
        <v>53.0</v>
      </c>
      <c r="E153" s="28">
        <v>7.40201E7</v>
      </c>
      <c r="F153" s="27">
        <v>0.0</v>
      </c>
      <c r="G153" s="28">
        <v>0.0</v>
      </c>
      <c r="H153" s="27">
        <v>53.0</v>
      </c>
      <c r="I153" s="28">
        <v>7.40201E7</v>
      </c>
      <c r="J153" s="29">
        <f t="shared" si="2"/>
        <v>1396605.66</v>
      </c>
      <c r="K153" s="30">
        <f t="shared" ref="K153:L153" si="151">H153/12</f>
        <v>4.416666667</v>
      </c>
      <c r="L153" s="31">
        <f t="shared" si="151"/>
        <v>6168341.667</v>
      </c>
      <c r="M153" s="32">
        <v>333.0</v>
      </c>
      <c r="N153" s="33">
        <f t="shared" si="4"/>
        <v>13.25</v>
      </c>
      <c r="O153" s="34">
        <f t="shared" si="5"/>
        <v>-319.75</v>
      </c>
      <c r="P153" s="35" t="str">
        <f t="shared" si="6"/>
        <v/>
      </c>
      <c r="Q153" s="36"/>
      <c r="R153" s="14"/>
      <c r="S153" s="14"/>
      <c r="T153" s="14"/>
      <c r="U153" s="14"/>
      <c r="V153" s="14"/>
      <c r="W153" s="14"/>
      <c r="X153" s="14"/>
      <c r="Y153" s="14"/>
      <c r="Z153" s="14"/>
    </row>
    <row r="154" ht="12.75" customHeight="1">
      <c r="A154" s="26" t="s">
        <v>179</v>
      </c>
      <c r="B154" s="26" t="s">
        <v>22</v>
      </c>
      <c r="C154" s="26" t="s">
        <v>20</v>
      </c>
      <c r="D154" s="27">
        <v>50.0</v>
      </c>
      <c r="E154" s="28">
        <v>6.9048E7</v>
      </c>
      <c r="F154" s="27">
        <v>0.0</v>
      </c>
      <c r="G154" s="28">
        <v>0.0</v>
      </c>
      <c r="H154" s="27">
        <v>50.0</v>
      </c>
      <c r="I154" s="28">
        <v>6.9048E7</v>
      </c>
      <c r="J154" s="29">
        <f t="shared" si="2"/>
        <v>1380960</v>
      </c>
      <c r="K154" s="30">
        <f t="shared" ref="K154:L154" si="152">H154/12</f>
        <v>4.166666667</v>
      </c>
      <c r="L154" s="31">
        <f t="shared" si="152"/>
        <v>5754000</v>
      </c>
      <c r="M154" s="37">
        <v>4.0</v>
      </c>
      <c r="N154" s="33">
        <f t="shared" si="4"/>
        <v>12.5</v>
      </c>
      <c r="O154" s="34">
        <f t="shared" si="5"/>
        <v>8.5</v>
      </c>
      <c r="P154" s="35">
        <f t="shared" si="6"/>
        <v>8.5</v>
      </c>
      <c r="Q154" s="36"/>
      <c r="R154" s="14"/>
      <c r="S154" s="14"/>
      <c r="T154" s="14"/>
      <c r="U154" s="14"/>
      <c r="V154" s="14"/>
      <c r="W154" s="14"/>
      <c r="X154" s="14"/>
      <c r="Y154" s="14"/>
      <c r="Z154" s="14"/>
    </row>
    <row r="155" ht="12.75" customHeight="1">
      <c r="A155" s="26" t="s">
        <v>180</v>
      </c>
      <c r="B155" s="26" t="s">
        <v>25</v>
      </c>
      <c r="C155" s="26" t="s">
        <v>20</v>
      </c>
      <c r="D155" s="27">
        <v>111.0</v>
      </c>
      <c r="E155" s="28">
        <v>6.78444E7</v>
      </c>
      <c r="F155" s="27">
        <v>0.0</v>
      </c>
      <c r="G155" s="28">
        <v>0.0</v>
      </c>
      <c r="H155" s="27">
        <v>111.0</v>
      </c>
      <c r="I155" s="28">
        <v>6.78444E7</v>
      </c>
      <c r="J155" s="29">
        <f t="shared" si="2"/>
        <v>611210.8108</v>
      </c>
      <c r="K155" s="30">
        <f t="shared" ref="K155:L155" si="153">H155/12</f>
        <v>9.25</v>
      </c>
      <c r="L155" s="31">
        <f t="shared" si="153"/>
        <v>5653700</v>
      </c>
      <c r="M155" s="37">
        <v>0.0</v>
      </c>
      <c r="N155" s="33">
        <f t="shared" si="4"/>
        <v>27.75</v>
      </c>
      <c r="O155" s="34">
        <f t="shared" si="5"/>
        <v>27.75</v>
      </c>
      <c r="P155" s="35">
        <f t="shared" si="6"/>
        <v>27.75</v>
      </c>
      <c r="Q155" s="36"/>
      <c r="R155" s="14"/>
      <c r="S155" s="14"/>
      <c r="T155" s="14"/>
      <c r="U155" s="14"/>
      <c r="V155" s="14"/>
      <c r="W155" s="14"/>
      <c r="X155" s="14"/>
      <c r="Y155" s="14"/>
      <c r="Z155" s="14"/>
    </row>
    <row r="156" ht="12.75" customHeight="1">
      <c r="A156" s="26" t="s">
        <v>181</v>
      </c>
      <c r="B156" s="26" t="s">
        <v>169</v>
      </c>
      <c r="C156" s="26" t="s">
        <v>36</v>
      </c>
      <c r="D156" s="27">
        <v>964.0</v>
      </c>
      <c r="E156" s="28">
        <v>6.710735E7</v>
      </c>
      <c r="F156" s="27">
        <v>0.0</v>
      </c>
      <c r="G156" s="28">
        <v>0.0</v>
      </c>
      <c r="H156" s="27">
        <v>964.0</v>
      </c>
      <c r="I156" s="28">
        <v>6.710735E7</v>
      </c>
      <c r="J156" s="29">
        <f t="shared" si="2"/>
        <v>69613.43361</v>
      </c>
      <c r="K156" s="30">
        <f t="shared" ref="K156:L156" si="154">H156/12</f>
        <v>80.33333333</v>
      </c>
      <c r="L156" s="31">
        <f t="shared" si="154"/>
        <v>5592279.167</v>
      </c>
      <c r="M156" s="37">
        <v>249.0</v>
      </c>
      <c r="N156" s="33">
        <f t="shared" si="4"/>
        <v>241</v>
      </c>
      <c r="O156" s="34">
        <f t="shared" si="5"/>
        <v>-8</v>
      </c>
      <c r="P156" s="35" t="str">
        <f t="shared" si="6"/>
        <v/>
      </c>
      <c r="Q156" s="36"/>
      <c r="R156" s="14"/>
      <c r="S156" s="14"/>
      <c r="T156" s="14"/>
      <c r="U156" s="14"/>
      <c r="V156" s="14"/>
      <c r="W156" s="14"/>
      <c r="X156" s="14"/>
      <c r="Y156" s="14"/>
      <c r="Z156" s="14"/>
    </row>
    <row r="157" ht="12.75" customHeight="1">
      <c r="A157" s="26" t="s">
        <v>182</v>
      </c>
      <c r="B157" s="26" t="s">
        <v>22</v>
      </c>
      <c r="C157" s="26" t="s">
        <v>20</v>
      </c>
      <c r="D157" s="27">
        <v>29.0</v>
      </c>
      <c r="E157" s="28">
        <v>6.687075E7</v>
      </c>
      <c r="F157" s="27">
        <v>0.0</v>
      </c>
      <c r="G157" s="28">
        <v>0.0</v>
      </c>
      <c r="H157" s="27">
        <v>29.0</v>
      </c>
      <c r="I157" s="28">
        <v>6.687075E7</v>
      </c>
      <c r="J157" s="29">
        <f t="shared" si="2"/>
        <v>2305887.931</v>
      </c>
      <c r="K157" s="30">
        <f t="shared" ref="K157:L157" si="155">H157/12</f>
        <v>2.416666667</v>
      </c>
      <c r="L157" s="31">
        <f t="shared" si="155"/>
        <v>5572562.5</v>
      </c>
      <c r="M157" s="37">
        <v>0.0</v>
      </c>
      <c r="N157" s="33">
        <f t="shared" si="4"/>
        <v>7.25</v>
      </c>
      <c r="O157" s="34">
        <f t="shared" si="5"/>
        <v>7.25</v>
      </c>
      <c r="P157" s="35">
        <f t="shared" si="6"/>
        <v>7.25</v>
      </c>
      <c r="Q157" s="36"/>
      <c r="R157" s="14"/>
      <c r="S157" s="14"/>
      <c r="T157" s="14"/>
      <c r="U157" s="14"/>
      <c r="V157" s="14"/>
      <c r="W157" s="14"/>
      <c r="X157" s="14"/>
      <c r="Y157" s="14"/>
      <c r="Z157" s="14"/>
    </row>
    <row r="158" ht="12.75" customHeight="1">
      <c r="A158" s="26" t="s">
        <v>183</v>
      </c>
      <c r="B158" s="26" t="s">
        <v>25</v>
      </c>
      <c r="C158" s="26" t="s">
        <v>20</v>
      </c>
      <c r="D158" s="27">
        <v>107.0</v>
      </c>
      <c r="E158" s="28">
        <v>6.46905E7</v>
      </c>
      <c r="F158" s="27">
        <v>0.0</v>
      </c>
      <c r="G158" s="28">
        <v>0.0</v>
      </c>
      <c r="H158" s="27">
        <v>107.0</v>
      </c>
      <c r="I158" s="28">
        <v>6.46905E7</v>
      </c>
      <c r="J158" s="29">
        <f t="shared" si="2"/>
        <v>604584.1121</v>
      </c>
      <c r="K158" s="30">
        <f t="shared" ref="K158:L158" si="156">H158/12</f>
        <v>8.916666667</v>
      </c>
      <c r="L158" s="31">
        <f t="shared" si="156"/>
        <v>5390875</v>
      </c>
      <c r="M158" s="32">
        <v>0.0</v>
      </c>
      <c r="N158" s="33">
        <f t="shared" si="4"/>
        <v>26.75</v>
      </c>
      <c r="O158" s="34">
        <f t="shared" si="5"/>
        <v>26.75</v>
      </c>
      <c r="P158" s="35">
        <f t="shared" si="6"/>
        <v>26.75</v>
      </c>
      <c r="Q158" s="36"/>
      <c r="R158" s="14"/>
      <c r="S158" s="14"/>
      <c r="T158" s="14"/>
      <c r="U158" s="14"/>
      <c r="V158" s="14"/>
      <c r="W158" s="14"/>
      <c r="X158" s="14"/>
      <c r="Y158" s="14"/>
      <c r="Z158" s="14"/>
    </row>
    <row r="159" ht="12.75" customHeight="1">
      <c r="A159" s="26" t="s">
        <v>184</v>
      </c>
      <c r="B159" s="26" t="s">
        <v>35</v>
      </c>
      <c r="C159" s="26" t="s">
        <v>36</v>
      </c>
      <c r="D159" s="27">
        <v>715.0</v>
      </c>
      <c r="E159" s="28">
        <v>6.28245E7</v>
      </c>
      <c r="F159" s="27">
        <v>0.0</v>
      </c>
      <c r="G159" s="28">
        <v>0.0</v>
      </c>
      <c r="H159" s="27">
        <v>715.0</v>
      </c>
      <c r="I159" s="28">
        <v>6.28245E7</v>
      </c>
      <c r="J159" s="29">
        <f t="shared" si="2"/>
        <v>87866.43357</v>
      </c>
      <c r="K159" s="30">
        <f t="shared" ref="K159:L159" si="157">H159/12</f>
        <v>59.58333333</v>
      </c>
      <c r="L159" s="31">
        <f t="shared" si="157"/>
        <v>5235375</v>
      </c>
      <c r="M159" s="32">
        <v>0.0</v>
      </c>
      <c r="N159" s="33">
        <f t="shared" si="4"/>
        <v>178.75</v>
      </c>
      <c r="O159" s="34">
        <f t="shared" si="5"/>
        <v>178.75</v>
      </c>
      <c r="P159" s="35">
        <f t="shared" si="6"/>
        <v>178.75</v>
      </c>
      <c r="Q159" s="36"/>
      <c r="R159" s="14"/>
      <c r="S159" s="14"/>
      <c r="T159" s="14"/>
      <c r="U159" s="14"/>
      <c r="V159" s="14"/>
      <c r="W159" s="14"/>
      <c r="X159" s="14"/>
      <c r="Y159" s="14"/>
      <c r="Z159" s="14"/>
    </row>
    <row r="160" ht="12.75" customHeight="1">
      <c r="A160" s="26" t="s">
        <v>185</v>
      </c>
      <c r="B160" s="26" t="s">
        <v>48</v>
      </c>
      <c r="C160" s="26" t="s">
        <v>20</v>
      </c>
      <c r="D160" s="27">
        <v>33.0</v>
      </c>
      <c r="E160" s="28">
        <v>6.213E7</v>
      </c>
      <c r="F160" s="27">
        <v>0.0</v>
      </c>
      <c r="G160" s="28">
        <v>0.0</v>
      </c>
      <c r="H160" s="27">
        <v>33.0</v>
      </c>
      <c r="I160" s="28">
        <v>6.213E7</v>
      </c>
      <c r="J160" s="29">
        <f t="shared" si="2"/>
        <v>1882727.273</v>
      </c>
      <c r="K160" s="30">
        <f t="shared" ref="K160:L160" si="158">H160/12</f>
        <v>2.75</v>
      </c>
      <c r="L160" s="31">
        <f t="shared" si="158"/>
        <v>5177500</v>
      </c>
      <c r="M160" s="32">
        <v>7.0</v>
      </c>
      <c r="N160" s="33">
        <f t="shared" si="4"/>
        <v>8.25</v>
      </c>
      <c r="O160" s="34">
        <f t="shared" si="5"/>
        <v>1.25</v>
      </c>
      <c r="P160" s="35">
        <f t="shared" si="6"/>
        <v>1.25</v>
      </c>
      <c r="Q160" s="36"/>
      <c r="R160" s="14"/>
      <c r="S160" s="14"/>
      <c r="T160" s="14"/>
      <c r="U160" s="14"/>
      <c r="V160" s="14"/>
      <c r="W160" s="14"/>
      <c r="X160" s="14"/>
      <c r="Y160" s="14"/>
      <c r="Z160" s="14"/>
    </row>
    <row r="161" ht="12.75" customHeight="1">
      <c r="A161" s="26" t="s">
        <v>186</v>
      </c>
      <c r="B161" s="26" t="s">
        <v>46</v>
      </c>
      <c r="C161" s="26" t="s">
        <v>20</v>
      </c>
      <c r="D161" s="27">
        <v>20.0</v>
      </c>
      <c r="E161" s="28">
        <v>5.82021E7</v>
      </c>
      <c r="F161" s="27">
        <v>0.0</v>
      </c>
      <c r="G161" s="28">
        <v>0.0</v>
      </c>
      <c r="H161" s="27">
        <v>20.0</v>
      </c>
      <c r="I161" s="28">
        <v>5.82021E7</v>
      </c>
      <c r="J161" s="29">
        <f t="shared" si="2"/>
        <v>2910105</v>
      </c>
      <c r="K161" s="30">
        <f t="shared" ref="K161:L161" si="159">H161/12</f>
        <v>1.666666667</v>
      </c>
      <c r="L161" s="31">
        <f t="shared" si="159"/>
        <v>4850175</v>
      </c>
      <c r="M161" s="32">
        <v>143.0</v>
      </c>
      <c r="N161" s="33">
        <f t="shared" si="4"/>
        <v>5</v>
      </c>
      <c r="O161" s="34">
        <f t="shared" si="5"/>
        <v>-138</v>
      </c>
      <c r="P161" s="35" t="str">
        <f t="shared" si="6"/>
        <v/>
      </c>
      <c r="Q161" s="36"/>
      <c r="R161" s="14"/>
      <c r="S161" s="14"/>
      <c r="T161" s="14"/>
      <c r="U161" s="14"/>
      <c r="V161" s="14"/>
      <c r="W161" s="14"/>
      <c r="X161" s="14"/>
      <c r="Y161" s="14"/>
      <c r="Z161" s="14"/>
    </row>
    <row r="162" ht="12.75" customHeight="1">
      <c r="A162" s="26" t="s">
        <v>187</v>
      </c>
      <c r="B162" s="26" t="s">
        <v>46</v>
      </c>
      <c r="C162" s="26" t="s">
        <v>20</v>
      </c>
      <c r="D162" s="27">
        <v>23.0</v>
      </c>
      <c r="E162" s="28">
        <v>5.61026E7</v>
      </c>
      <c r="F162" s="27">
        <v>0.0</v>
      </c>
      <c r="G162" s="28">
        <v>0.0</v>
      </c>
      <c r="H162" s="27">
        <v>23.0</v>
      </c>
      <c r="I162" s="28">
        <v>5.61026E7</v>
      </c>
      <c r="J162" s="29">
        <f t="shared" si="2"/>
        <v>2439243.478</v>
      </c>
      <c r="K162" s="30">
        <f t="shared" ref="K162:L162" si="160">H162/12</f>
        <v>1.916666667</v>
      </c>
      <c r="L162" s="31">
        <f t="shared" si="160"/>
        <v>4675216.667</v>
      </c>
      <c r="M162" s="32">
        <v>109.0</v>
      </c>
      <c r="N162" s="33">
        <f t="shared" si="4"/>
        <v>5.75</v>
      </c>
      <c r="O162" s="34">
        <f t="shared" si="5"/>
        <v>-103.25</v>
      </c>
      <c r="P162" s="35" t="str">
        <f t="shared" si="6"/>
        <v/>
      </c>
      <c r="Q162" s="36"/>
      <c r="R162" s="14"/>
      <c r="S162" s="14"/>
      <c r="T162" s="14"/>
      <c r="U162" s="14"/>
      <c r="V162" s="14"/>
      <c r="W162" s="14"/>
      <c r="X162" s="14"/>
      <c r="Y162" s="14"/>
      <c r="Z162" s="14"/>
    </row>
    <row r="163" ht="12.75" customHeight="1">
      <c r="A163" s="26" t="s">
        <v>188</v>
      </c>
      <c r="B163" s="26" t="s">
        <v>46</v>
      </c>
      <c r="C163" s="26" t="s">
        <v>20</v>
      </c>
      <c r="D163" s="27">
        <v>24.0</v>
      </c>
      <c r="E163" s="28">
        <v>4.95703E7</v>
      </c>
      <c r="F163" s="27">
        <v>0.0</v>
      </c>
      <c r="G163" s="28">
        <v>0.0</v>
      </c>
      <c r="H163" s="27">
        <v>24.0</v>
      </c>
      <c r="I163" s="28">
        <v>4.95703E7</v>
      </c>
      <c r="J163" s="29">
        <f t="shared" si="2"/>
        <v>2065429.167</v>
      </c>
      <c r="K163" s="30">
        <f t="shared" ref="K163:L163" si="161">H163/12</f>
        <v>2</v>
      </c>
      <c r="L163" s="31">
        <f t="shared" si="161"/>
        <v>4130858.333</v>
      </c>
      <c r="M163" s="32">
        <v>24.0</v>
      </c>
      <c r="N163" s="33">
        <f t="shared" si="4"/>
        <v>6</v>
      </c>
      <c r="O163" s="34">
        <f t="shared" si="5"/>
        <v>-18</v>
      </c>
      <c r="P163" s="35" t="str">
        <f t="shared" si="6"/>
        <v/>
      </c>
      <c r="Q163" s="36"/>
      <c r="R163" s="14"/>
      <c r="S163" s="14"/>
      <c r="T163" s="14"/>
      <c r="U163" s="14"/>
      <c r="V163" s="14"/>
      <c r="W163" s="14"/>
      <c r="X163" s="14"/>
      <c r="Y163" s="14"/>
      <c r="Z163" s="14"/>
    </row>
    <row r="164" ht="12.75" customHeight="1">
      <c r="A164" s="26" t="s">
        <v>189</v>
      </c>
      <c r="B164" s="26" t="s">
        <v>56</v>
      </c>
      <c r="C164" s="26" t="s">
        <v>20</v>
      </c>
      <c r="D164" s="27">
        <v>65.0</v>
      </c>
      <c r="E164" s="28">
        <v>4.93256E7</v>
      </c>
      <c r="F164" s="27">
        <v>0.0</v>
      </c>
      <c r="G164" s="28">
        <v>0.0</v>
      </c>
      <c r="H164" s="27">
        <v>65.0</v>
      </c>
      <c r="I164" s="28">
        <v>4.93256E7</v>
      </c>
      <c r="J164" s="29">
        <f t="shared" si="2"/>
        <v>758855.3846</v>
      </c>
      <c r="K164" s="30">
        <f t="shared" ref="K164:L164" si="162">H164/12</f>
        <v>5.416666667</v>
      </c>
      <c r="L164" s="31">
        <f t="shared" si="162"/>
        <v>4110466.667</v>
      </c>
      <c r="M164" s="37">
        <v>17.0</v>
      </c>
      <c r="N164" s="33">
        <f t="shared" si="4"/>
        <v>16.25</v>
      </c>
      <c r="O164" s="34">
        <f t="shared" si="5"/>
        <v>-0.75</v>
      </c>
      <c r="P164" s="35" t="str">
        <f t="shared" si="6"/>
        <v/>
      </c>
      <c r="Q164" s="36"/>
      <c r="R164" s="14"/>
      <c r="S164" s="14"/>
      <c r="T164" s="14"/>
      <c r="U164" s="14"/>
      <c r="V164" s="14"/>
      <c r="W164" s="14"/>
      <c r="X164" s="14"/>
      <c r="Y164" s="14"/>
      <c r="Z164" s="14"/>
    </row>
    <row r="165" ht="12.75" customHeight="1">
      <c r="A165" s="26" t="s">
        <v>190</v>
      </c>
      <c r="B165" s="26" t="s">
        <v>25</v>
      </c>
      <c r="C165" s="26" t="s">
        <v>20</v>
      </c>
      <c r="D165" s="27">
        <v>66.0</v>
      </c>
      <c r="E165" s="28">
        <v>4.90875E7</v>
      </c>
      <c r="F165" s="27">
        <v>0.0</v>
      </c>
      <c r="G165" s="28">
        <v>0.0</v>
      </c>
      <c r="H165" s="27">
        <v>66.0</v>
      </c>
      <c r="I165" s="28">
        <v>4.90875E7</v>
      </c>
      <c r="J165" s="29">
        <f t="shared" si="2"/>
        <v>743750</v>
      </c>
      <c r="K165" s="30">
        <f t="shared" ref="K165:L165" si="163">H165/12</f>
        <v>5.5</v>
      </c>
      <c r="L165" s="31">
        <f t="shared" si="163"/>
        <v>4090625</v>
      </c>
      <c r="M165" s="37">
        <v>0.0</v>
      </c>
      <c r="N165" s="33">
        <f t="shared" si="4"/>
        <v>16.5</v>
      </c>
      <c r="O165" s="34">
        <f t="shared" si="5"/>
        <v>16.5</v>
      </c>
      <c r="P165" s="35">
        <f t="shared" si="6"/>
        <v>16.5</v>
      </c>
      <c r="Q165" s="36"/>
      <c r="R165" s="14"/>
      <c r="S165" s="14"/>
      <c r="T165" s="14"/>
      <c r="U165" s="14"/>
      <c r="V165" s="14"/>
      <c r="W165" s="14"/>
      <c r="X165" s="14"/>
      <c r="Y165" s="14"/>
      <c r="Z165" s="14"/>
    </row>
    <row r="166" ht="12.75" customHeight="1">
      <c r="A166" s="26" t="s">
        <v>191</v>
      </c>
      <c r="B166" s="26" t="s">
        <v>46</v>
      </c>
      <c r="C166" s="26" t="s">
        <v>20</v>
      </c>
      <c r="D166" s="27">
        <v>16.0</v>
      </c>
      <c r="E166" s="28">
        <v>4.757475E7</v>
      </c>
      <c r="F166" s="27">
        <v>0.0</v>
      </c>
      <c r="G166" s="28">
        <v>0.0</v>
      </c>
      <c r="H166" s="27">
        <v>16.0</v>
      </c>
      <c r="I166" s="28">
        <v>4.757475E7</v>
      </c>
      <c r="J166" s="29">
        <f t="shared" si="2"/>
        <v>2973421.875</v>
      </c>
      <c r="K166" s="30">
        <f t="shared" ref="K166:L166" si="164">H166/12</f>
        <v>1.333333333</v>
      </c>
      <c r="L166" s="31">
        <f t="shared" si="164"/>
        <v>3964562.5</v>
      </c>
      <c r="M166" s="37">
        <v>27.0</v>
      </c>
      <c r="N166" s="33">
        <f t="shared" si="4"/>
        <v>4</v>
      </c>
      <c r="O166" s="34">
        <f t="shared" si="5"/>
        <v>-23</v>
      </c>
      <c r="P166" s="35" t="str">
        <f t="shared" si="6"/>
        <v/>
      </c>
      <c r="Q166" s="36"/>
      <c r="R166" s="14"/>
      <c r="S166" s="14"/>
      <c r="T166" s="14"/>
      <c r="U166" s="14"/>
      <c r="V166" s="14"/>
      <c r="W166" s="14"/>
      <c r="X166" s="14"/>
      <c r="Y166" s="14"/>
      <c r="Z166" s="14"/>
    </row>
    <row r="167" ht="12.75" customHeight="1">
      <c r="A167" s="26" t="s">
        <v>192</v>
      </c>
      <c r="B167" s="26" t="s">
        <v>56</v>
      </c>
      <c r="C167" s="26" t="s">
        <v>20</v>
      </c>
      <c r="D167" s="27">
        <v>33.0</v>
      </c>
      <c r="E167" s="28">
        <v>4.69497E7</v>
      </c>
      <c r="F167" s="27">
        <v>0.0</v>
      </c>
      <c r="G167" s="28">
        <v>0.0</v>
      </c>
      <c r="H167" s="27">
        <v>33.0</v>
      </c>
      <c r="I167" s="28">
        <v>4.69497E7</v>
      </c>
      <c r="J167" s="29">
        <f t="shared" si="2"/>
        <v>1422718.182</v>
      </c>
      <c r="K167" s="30">
        <f t="shared" ref="K167:L167" si="165">H167/12</f>
        <v>2.75</v>
      </c>
      <c r="L167" s="31">
        <f t="shared" si="165"/>
        <v>3912475</v>
      </c>
      <c r="M167" s="32">
        <v>46.0</v>
      </c>
      <c r="N167" s="33">
        <f t="shared" si="4"/>
        <v>8.25</v>
      </c>
      <c r="O167" s="34">
        <f t="shared" si="5"/>
        <v>-37.75</v>
      </c>
      <c r="P167" s="35" t="str">
        <f t="shared" si="6"/>
        <v/>
      </c>
      <c r="Q167" s="36"/>
      <c r="R167" s="14"/>
      <c r="S167" s="14"/>
      <c r="T167" s="14"/>
      <c r="U167" s="14"/>
      <c r="V167" s="14"/>
      <c r="W167" s="14"/>
      <c r="X167" s="14"/>
      <c r="Y167" s="14"/>
      <c r="Z167" s="14"/>
    </row>
    <row r="168" ht="12.75" customHeight="1">
      <c r="A168" s="26" t="s">
        <v>193</v>
      </c>
      <c r="B168" s="26" t="s">
        <v>194</v>
      </c>
      <c r="C168" s="26" t="s">
        <v>20</v>
      </c>
      <c r="D168" s="27">
        <v>3.0</v>
      </c>
      <c r="E168" s="28">
        <v>4.5E7</v>
      </c>
      <c r="F168" s="27">
        <v>0.0</v>
      </c>
      <c r="G168" s="28">
        <v>0.0</v>
      </c>
      <c r="H168" s="27">
        <v>3.0</v>
      </c>
      <c r="I168" s="28">
        <v>4.5E7</v>
      </c>
      <c r="J168" s="29">
        <f t="shared" si="2"/>
        <v>15000000</v>
      </c>
      <c r="K168" s="30">
        <f t="shared" ref="K168:L168" si="166">H168/12</f>
        <v>0.25</v>
      </c>
      <c r="L168" s="31">
        <f t="shared" si="166"/>
        <v>3750000</v>
      </c>
      <c r="M168" s="32">
        <v>0.0</v>
      </c>
      <c r="N168" s="33">
        <f t="shared" si="4"/>
        <v>0.75</v>
      </c>
      <c r="O168" s="34">
        <f t="shared" si="5"/>
        <v>0.75</v>
      </c>
      <c r="P168" s="35">
        <f t="shared" si="6"/>
        <v>0.75</v>
      </c>
      <c r="Q168" s="36"/>
      <c r="R168" s="14"/>
      <c r="S168" s="14"/>
      <c r="T168" s="14"/>
      <c r="U168" s="14"/>
      <c r="V168" s="14"/>
      <c r="W168" s="14"/>
      <c r="X168" s="14"/>
      <c r="Y168" s="14"/>
      <c r="Z168" s="14"/>
    </row>
    <row r="169" ht="12.75" customHeight="1">
      <c r="A169" s="26" t="s">
        <v>195</v>
      </c>
      <c r="B169" s="26" t="s">
        <v>56</v>
      </c>
      <c r="C169" s="26" t="s">
        <v>20</v>
      </c>
      <c r="D169" s="27">
        <v>34.0</v>
      </c>
      <c r="E169" s="28">
        <v>4.49349E7</v>
      </c>
      <c r="F169" s="27">
        <v>0.0</v>
      </c>
      <c r="G169" s="28">
        <v>0.0</v>
      </c>
      <c r="H169" s="27">
        <v>34.0</v>
      </c>
      <c r="I169" s="28">
        <v>4.49349E7</v>
      </c>
      <c r="J169" s="29">
        <f t="shared" si="2"/>
        <v>1321614.706</v>
      </c>
      <c r="K169" s="30">
        <f t="shared" ref="K169:L169" si="167">H169/12</f>
        <v>2.833333333</v>
      </c>
      <c r="L169" s="31">
        <f t="shared" si="167"/>
        <v>3744575</v>
      </c>
      <c r="M169" s="32">
        <v>38.0</v>
      </c>
      <c r="N169" s="33">
        <f t="shared" si="4"/>
        <v>8.5</v>
      </c>
      <c r="O169" s="34">
        <f t="shared" si="5"/>
        <v>-29.5</v>
      </c>
      <c r="P169" s="35" t="str">
        <f t="shared" si="6"/>
        <v/>
      </c>
      <c r="Q169" s="36"/>
      <c r="R169" s="14"/>
      <c r="S169" s="14"/>
      <c r="T169" s="14"/>
      <c r="U169" s="14"/>
      <c r="V169" s="14"/>
      <c r="W169" s="14"/>
      <c r="X169" s="14"/>
      <c r="Y169" s="14"/>
      <c r="Z169" s="14"/>
    </row>
    <row r="170" ht="12.75" customHeight="1">
      <c r="A170" s="26" t="s">
        <v>196</v>
      </c>
      <c r="B170" s="26" t="s">
        <v>46</v>
      </c>
      <c r="C170" s="26" t="s">
        <v>20</v>
      </c>
      <c r="D170" s="27">
        <v>22.0</v>
      </c>
      <c r="E170" s="28">
        <v>4.48439E7</v>
      </c>
      <c r="F170" s="27">
        <v>0.0</v>
      </c>
      <c r="G170" s="28">
        <v>0.0</v>
      </c>
      <c r="H170" s="27">
        <v>22.0</v>
      </c>
      <c r="I170" s="28">
        <v>4.48439E7</v>
      </c>
      <c r="J170" s="29">
        <f t="shared" si="2"/>
        <v>2038359.091</v>
      </c>
      <c r="K170" s="30">
        <f t="shared" ref="K170:L170" si="168">H170/12</f>
        <v>1.833333333</v>
      </c>
      <c r="L170" s="31">
        <f t="shared" si="168"/>
        <v>3736991.667</v>
      </c>
      <c r="M170" s="32">
        <v>3.0</v>
      </c>
      <c r="N170" s="33">
        <f t="shared" si="4"/>
        <v>5.5</v>
      </c>
      <c r="O170" s="34">
        <f t="shared" si="5"/>
        <v>2.5</v>
      </c>
      <c r="P170" s="35">
        <f t="shared" si="6"/>
        <v>2.5</v>
      </c>
      <c r="Q170" s="36"/>
      <c r="R170" s="14"/>
      <c r="S170" s="14"/>
      <c r="T170" s="14"/>
      <c r="U170" s="14"/>
      <c r="V170" s="14"/>
      <c r="W170" s="14"/>
      <c r="X170" s="14"/>
      <c r="Y170" s="14"/>
      <c r="Z170" s="14"/>
    </row>
    <row r="171" ht="12.75" customHeight="1">
      <c r="A171" s="26" t="s">
        <v>197</v>
      </c>
      <c r="B171" s="26" t="s">
        <v>56</v>
      </c>
      <c r="C171" s="26" t="s">
        <v>20</v>
      </c>
      <c r="D171" s="27">
        <v>33.0</v>
      </c>
      <c r="E171" s="28">
        <v>4.29786E7</v>
      </c>
      <c r="F171" s="27">
        <v>0.0</v>
      </c>
      <c r="G171" s="28">
        <v>0.0</v>
      </c>
      <c r="H171" s="27">
        <v>33.0</v>
      </c>
      <c r="I171" s="28">
        <v>4.29786E7</v>
      </c>
      <c r="J171" s="29">
        <f t="shared" si="2"/>
        <v>1302381.818</v>
      </c>
      <c r="K171" s="30">
        <f t="shared" ref="K171:L171" si="169">H171/12</f>
        <v>2.75</v>
      </c>
      <c r="L171" s="31">
        <f t="shared" si="169"/>
        <v>3581550</v>
      </c>
      <c r="M171" s="32">
        <v>3.0</v>
      </c>
      <c r="N171" s="33">
        <f t="shared" si="4"/>
        <v>8.25</v>
      </c>
      <c r="O171" s="34">
        <f t="shared" si="5"/>
        <v>5.25</v>
      </c>
      <c r="P171" s="35">
        <f t="shared" si="6"/>
        <v>5.25</v>
      </c>
      <c r="Q171" s="36"/>
      <c r="R171" s="14"/>
      <c r="S171" s="14"/>
      <c r="T171" s="14"/>
      <c r="U171" s="14"/>
      <c r="V171" s="14"/>
      <c r="W171" s="14"/>
      <c r="X171" s="14"/>
      <c r="Y171" s="14"/>
      <c r="Z171" s="14"/>
    </row>
    <row r="172" ht="12.75" customHeight="1">
      <c r="A172" s="26" t="s">
        <v>198</v>
      </c>
      <c r="B172" s="26" t="s">
        <v>56</v>
      </c>
      <c r="C172" s="26" t="s">
        <v>20</v>
      </c>
      <c r="D172" s="27">
        <v>30.0</v>
      </c>
      <c r="E172" s="28">
        <v>4.11552E7</v>
      </c>
      <c r="F172" s="27">
        <v>0.0</v>
      </c>
      <c r="G172" s="28">
        <v>0.0</v>
      </c>
      <c r="H172" s="27">
        <v>30.0</v>
      </c>
      <c r="I172" s="28">
        <v>4.11552E7</v>
      </c>
      <c r="J172" s="29">
        <f t="shared" si="2"/>
        <v>1371840</v>
      </c>
      <c r="K172" s="30">
        <f t="shared" ref="K172:L172" si="170">H172/12</f>
        <v>2.5</v>
      </c>
      <c r="L172" s="31">
        <f t="shared" si="170"/>
        <v>3429600</v>
      </c>
      <c r="M172" s="37">
        <v>37.0</v>
      </c>
      <c r="N172" s="33">
        <f t="shared" si="4"/>
        <v>7.5</v>
      </c>
      <c r="O172" s="34">
        <f t="shared" si="5"/>
        <v>-29.5</v>
      </c>
      <c r="P172" s="35" t="str">
        <f t="shared" si="6"/>
        <v/>
      </c>
      <c r="Q172" s="36"/>
      <c r="R172" s="14"/>
      <c r="S172" s="14"/>
      <c r="T172" s="14"/>
      <c r="U172" s="14"/>
      <c r="V172" s="14"/>
      <c r="W172" s="14"/>
      <c r="X172" s="14"/>
      <c r="Y172" s="14"/>
      <c r="Z172" s="14"/>
    </row>
    <row r="173" ht="12.75" customHeight="1">
      <c r="A173" s="26" t="s">
        <v>199</v>
      </c>
      <c r="B173" s="26" t="s">
        <v>169</v>
      </c>
      <c r="C173" s="26" t="s">
        <v>36</v>
      </c>
      <c r="D173" s="27">
        <v>508.0</v>
      </c>
      <c r="E173" s="28">
        <v>3.93545E7</v>
      </c>
      <c r="F173" s="27">
        <v>0.0</v>
      </c>
      <c r="G173" s="28">
        <v>0.0</v>
      </c>
      <c r="H173" s="27">
        <v>508.0</v>
      </c>
      <c r="I173" s="28">
        <v>3.93545E7</v>
      </c>
      <c r="J173" s="29">
        <f t="shared" si="2"/>
        <v>77469.48819</v>
      </c>
      <c r="K173" s="30">
        <f t="shared" ref="K173:L173" si="171">H173/12</f>
        <v>42.33333333</v>
      </c>
      <c r="L173" s="31">
        <f t="shared" si="171"/>
        <v>3279541.667</v>
      </c>
      <c r="M173" s="37">
        <v>391.0</v>
      </c>
      <c r="N173" s="33">
        <f t="shared" si="4"/>
        <v>127</v>
      </c>
      <c r="O173" s="34">
        <f t="shared" si="5"/>
        <v>-264</v>
      </c>
      <c r="P173" s="35" t="str">
        <f t="shared" si="6"/>
        <v/>
      </c>
      <c r="Q173" s="36"/>
      <c r="R173" s="14"/>
      <c r="S173" s="14"/>
      <c r="T173" s="14"/>
      <c r="U173" s="14"/>
      <c r="V173" s="14"/>
      <c r="W173" s="14"/>
      <c r="X173" s="14"/>
      <c r="Y173" s="14"/>
      <c r="Z173" s="14"/>
    </row>
    <row r="174" ht="12.75" customHeight="1">
      <c r="A174" s="26" t="s">
        <v>200</v>
      </c>
      <c r="B174" s="26" t="s">
        <v>169</v>
      </c>
      <c r="C174" s="26" t="s">
        <v>36</v>
      </c>
      <c r="D174" s="27">
        <v>592.0</v>
      </c>
      <c r="E174" s="28">
        <v>3.17665E7</v>
      </c>
      <c r="F174" s="27">
        <v>0.0</v>
      </c>
      <c r="G174" s="28">
        <v>0.0</v>
      </c>
      <c r="H174" s="27">
        <v>592.0</v>
      </c>
      <c r="I174" s="28">
        <v>3.17665E7</v>
      </c>
      <c r="J174" s="29">
        <f t="shared" si="2"/>
        <v>53659.62838</v>
      </c>
      <c r="K174" s="30">
        <f t="shared" ref="K174:L174" si="172">H174/12</f>
        <v>49.33333333</v>
      </c>
      <c r="L174" s="31">
        <f t="shared" si="172"/>
        <v>2647208.333</v>
      </c>
      <c r="M174" s="37">
        <v>312.0</v>
      </c>
      <c r="N174" s="33">
        <f t="shared" si="4"/>
        <v>148</v>
      </c>
      <c r="O174" s="34">
        <f t="shared" si="5"/>
        <v>-164</v>
      </c>
      <c r="P174" s="35" t="str">
        <f t="shared" si="6"/>
        <v/>
      </c>
      <c r="Q174" s="36"/>
      <c r="R174" s="14"/>
      <c r="S174" s="14"/>
      <c r="T174" s="14"/>
      <c r="U174" s="14"/>
      <c r="V174" s="14"/>
      <c r="W174" s="14"/>
      <c r="X174" s="14"/>
      <c r="Y174" s="14"/>
      <c r="Z174" s="14"/>
    </row>
    <row r="175" ht="12.75" customHeight="1">
      <c r="A175" s="26" t="s">
        <v>201</v>
      </c>
      <c r="B175" s="26" t="s">
        <v>169</v>
      </c>
      <c r="C175" s="26" t="s">
        <v>36</v>
      </c>
      <c r="D175" s="27">
        <v>786.0</v>
      </c>
      <c r="E175" s="28">
        <v>2.986125E7</v>
      </c>
      <c r="F175" s="27">
        <v>0.0</v>
      </c>
      <c r="G175" s="28">
        <v>0.0</v>
      </c>
      <c r="H175" s="27">
        <v>786.0</v>
      </c>
      <c r="I175" s="28">
        <v>2.986125E7</v>
      </c>
      <c r="J175" s="29">
        <f t="shared" si="2"/>
        <v>37991.41221</v>
      </c>
      <c r="K175" s="30">
        <f t="shared" ref="K175:L175" si="173">H175/12</f>
        <v>65.5</v>
      </c>
      <c r="L175" s="31">
        <f t="shared" si="173"/>
        <v>2488437.5</v>
      </c>
      <c r="M175" s="37">
        <v>576.0</v>
      </c>
      <c r="N175" s="33">
        <f t="shared" si="4"/>
        <v>196.5</v>
      </c>
      <c r="O175" s="34">
        <f t="shared" si="5"/>
        <v>-379.5</v>
      </c>
      <c r="P175" s="35" t="str">
        <f t="shared" si="6"/>
        <v/>
      </c>
      <c r="Q175" s="36"/>
      <c r="R175" s="14"/>
      <c r="S175" s="14"/>
      <c r="T175" s="14"/>
      <c r="U175" s="14"/>
      <c r="V175" s="14"/>
      <c r="W175" s="14"/>
      <c r="X175" s="14"/>
      <c r="Y175" s="14"/>
      <c r="Z175" s="14"/>
    </row>
    <row r="176" ht="12.75" customHeight="1">
      <c r="A176" s="26" t="s">
        <v>202</v>
      </c>
      <c r="B176" s="26" t="s">
        <v>169</v>
      </c>
      <c r="C176" s="26" t="s">
        <v>203</v>
      </c>
      <c r="D176" s="27">
        <v>667.0</v>
      </c>
      <c r="E176" s="28">
        <v>2.92845E7</v>
      </c>
      <c r="F176" s="27">
        <v>0.0</v>
      </c>
      <c r="G176" s="28">
        <v>0.0</v>
      </c>
      <c r="H176" s="27">
        <v>667.0</v>
      </c>
      <c r="I176" s="28">
        <v>2.92845E7</v>
      </c>
      <c r="J176" s="29">
        <f t="shared" si="2"/>
        <v>43904.7976</v>
      </c>
      <c r="K176" s="30">
        <f t="shared" ref="K176:L176" si="174">H176/12</f>
        <v>55.58333333</v>
      </c>
      <c r="L176" s="31">
        <f t="shared" si="174"/>
        <v>2440375</v>
      </c>
      <c r="M176" s="32">
        <v>677.0</v>
      </c>
      <c r="N176" s="33">
        <f t="shared" si="4"/>
        <v>166.75</v>
      </c>
      <c r="O176" s="34">
        <f t="shared" si="5"/>
        <v>-510.25</v>
      </c>
      <c r="P176" s="35" t="str">
        <f t="shared" si="6"/>
        <v/>
      </c>
      <c r="Q176" s="36"/>
      <c r="R176" s="14"/>
      <c r="S176" s="14"/>
      <c r="T176" s="14"/>
      <c r="U176" s="14"/>
      <c r="V176" s="14"/>
      <c r="W176" s="14"/>
      <c r="X176" s="14"/>
      <c r="Y176" s="14"/>
      <c r="Z176" s="14"/>
    </row>
    <row r="177" ht="12.75" customHeight="1">
      <c r="A177" s="26" t="s">
        <v>204</v>
      </c>
      <c r="B177" s="26" t="s">
        <v>81</v>
      </c>
      <c r="C177" s="26" t="s">
        <v>36</v>
      </c>
      <c r="D177" s="27">
        <v>99.0</v>
      </c>
      <c r="E177" s="28">
        <v>2.87343E7</v>
      </c>
      <c r="F177" s="27">
        <v>0.0</v>
      </c>
      <c r="G177" s="28">
        <v>0.0</v>
      </c>
      <c r="H177" s="27">
        <v>99.0</v>
      </c>
      <c r="I177" s="28">
        <v>2.87343E7</v>
      </c>
      <c r="J177" s="29">
        <f t="shared" si="2"/>
        <v>290245.4545</v>
      </c>
      <c r="K177" s="30">
        <f t="shared" ref="K177:L177" si="175">H177/12</f>
        <v>8.25</v>
      </c>
      <c r="L177" s="31">
        <f t="shared" si="175"/>
        <v>2394525</v>
      </c>
      <c r="M177" s="32">
        <v>0.0</v>
      </c>
      <c r="N177" s="33">
        <f t="shared" si="4"/>
        <v>24.75</v>
      </c>
      <c r="O177" s="34">
        <f t="shared" si="5"/>
        <v>24.75</v>
      </c>
      <c r="P177" s="35">
        <f t="shared" si="6"/>
        <v>24.75</v>
      </c>
      <c r="Q177" s="36"/>
      <c r="R177" s="14"/>
      <c r="S177" s="14"/>
      <c r="T177" s="14"/>
      <c r="U177" s="14"/>
      <c r="V177" s="14"/>
      <c r="W177" s="14"/>
      <c r="X177" s="14"/>
      <c r="Y177" s="14"/>
      <c r="Z177" s="14"/>
    </row>
    <row r="178" ht="12.75" customHeight="1">
      <c r="A178" s="26" t="s">
        <v>205</v>
      </c>
      <c r="B178" s="26" t="s">
        <v>25</v>
      </c>
      <c r="C178" s="26" t="s">
        <v>20</v>
      </c>
      <c r="D178" s="27">
        <v>46.0</v>
      </c>
      <c r="E178" s="28">
        <v>2.80984E7</v>
      </c>
      <c r="F178" s="27">
        <v>0.0</v>
      </c>
      <c r="G178" s="28">
        <v>0.0</v>
      </c>
      <c r="H178" s="27">
        <v>46.0</v>
      </c>
      <c r="I178" s="28">
        <v>2.80984E7</v>
      </c>
      <c r="J178" s="29">
        <f t="shared" si="2"/>
        <v>610834.7826</v>
      </c>
      <c r="K178" s="30">
        <f t="shared" ref="K178:L178" si="176">H178/12</f>
        <v>3.833333333</v>
      </c>
      <c r="L178" s="31">
        <f t="shared" si="176"/>
        <v>2341533.333</v>
      </c>
      <c r="M178" s="32">
        <v>0.0</v>
      </c>
      <c r="N178" s="33">
        <f t="shared" si="4"/>
        <v>11.5</v>
      </c>
      <c r="O178" s="34">
        <f t="shared" si="5"/>
        <v>11.5</v>
      </c>
      <c r="P178" s="35">
        <f t="shared" si="6"/>
        <v>11.5</v>
      </c>
      <c r="Q178" s="36"/>
      <c r="R178" s="14"/>
      <c r="S178" s="14"/>
      <c r="T178" s="14"/>
      <c r="U178" s="14"/>
      <c r="V178" s="14"/>
      <c r="W178" s="14"/>
      <c r="X178" s="14"/>
      <c r="Y178" s="14"/>
      <c r="Z178" s="14"/>
    </row>
    <row r="179" ht="12.75" customHeight="1">
      <c r="A179" s="26" t="s">
        <v>206</v>
      </c>
      <c r="B179" s="26" t="s">
        <v>46</v>
      </c>
      <c r="C179" s="26" t="s">
        <v>20</v>
      </c>
      <c r="D179" s="27">
        <v>2.0</v>
      </c>
      <c r="E179" s="28">
        <v>2.79692E7</v>
      </c>
      <c r="F179" s="27">
        <v>0.0</v>
      </c>
      <c r="G179" s="28">
        <v>0.0</v>
      </c>
      <c r="H179" s="27">
        <v>2.0</v>
      </c>
      <c r="I179" s="28">
        <v>2.79692E7</v>
      </c>
      <c r="J179" s="29">
        <f t="shared" si="2"/>
        <v>13984600</v>
      </c>
      <c r="K179" s="30">
        <f t="shared" ref="K179:L179" si="177">H179/12</f>
        <v>0.1666666667</v>
      </c>
      <c r="L179" s="31">
        <f t="shared" si="177"/>
        <v>2330766.667</v>
      </c>
      <c r="M179" s="32">
        <v>3.0</v>
      </c>
      <c r="N179" s="33">
        <f t="shared" si="4"/>
        <v>0.5</v>
      </c>
      <c r="O179" s="34">
        <f t="shared" si="5"/>
        <v>-2.5</v>
      </c>
      <c r="P179" s="35" t="str">
        <f t="shared" si="6"/>
        <v/>
      </c>
      <c r="Q179" s="36"/>
      <c r="R179" s="14"/>
      <c r="S179" s="14"/>
      <c r="T179" s="14"/>
      <c r="U179" s="14"/>
      <c r="V179" s="14"/>
      <c r="W179" s="14"/>
      <c r="X179" s="14"/>
      <c r="Y179" s="14"/>
      <c r="Z179" s="14"/>
    </row>
    <row r="180" ht="12.75" customHeight="1">
      <c r="A180" s="26" t="s">
        <v>207</v>
      </c>
      <c r="B180" s="26" t="s">
        <v>81</v>
      </c>
      <c r="C180" s="26" t="s">
        <v>36</v>
      </c>
      <c r="D180" s="27">
        <v>85.0</v>
      </c>
      <c r="E180" s="28">
        <v>2.748265E7</v>
      </c>
      <c r="F180" s="27">
        <v>0.0</v>
      </c>
      <c r="G180" s="28">
        <v>0.0</v>
      </c>
      <c r="H180" s="27">
        <v>85.0</v>
      </c>
      <c r="I180" s="28">
        <v>2.748265E7</v>
      </c>
      <c r="J180" s="29">
        <f t="shared" si="2"/>
        <v>323325.2941</v>
      </c>
      <c r="K180" s="30">
        <f t="shared" ref="K180:L180" si="178">H180/12</f>
        <v>7.083333333</v>
      </c>
      <c r="L180" s="31">
        <f t="shared" si="178"/>
        <v>2290220.833</v>
      </c>
      <c r="M180" s="32">
        <v>426.0</v>
      </c>
      <c r="N180" s="33">
        <f t="shared" si="4"/>
        <v>21.25</v>
      </c>
      <c r="O180" s="34">
        <f t="shared" si="5"/>
        <v>-404.75</v>
      </c>
      <c r="P180" s="35" t="str">
        <f t="shared" si="6"/>
        <v/>
      </c>
      <c r="Q180" s="36"/>
      <c r="R180" s="14"/>
      <c r="S180" s="14"/>
      <c r="T180" s="14"/>
      <c r="U180" s="14"/>
      <c r="V180" s="14"/>
      <c r="W180" s="14"/>
      <c r="X180" s="14"/>
      <c r="Y180" s="14"/>
      <c r="Z180" s="14"/>
    </row>
    <row r="181" ht="12.75" customHeight="1">
      <c r="A181" s="26" t="s">
        <v>208</v>
      </c>
      <c r="B181" s="26" t="s">
        <v>22</v>
      </c>
      <c r="C181" s="26" t="s">
        <v>20</v>
      </c>
      <c r="D181" s="27">
        <v>20.0</v>
      </c>
      <c r="E181" s="28">
        <v>2.6483E7</v>
      </c>
      <c r="F181" s="27">
        <v>0.0</v>
      </c>
      <c r="G181" s="28">
        <v>0.0</v>
      </c>
      <c r="H181" s="27">
        <v>20.0</v>
      </c>
      <c r="I181" s="28">
        <v>2.6483E7</v>
      </c>
      <c r="J181" s="29">
        <f t="shared" si="2"/>
        <v>1324150</v>
      </c>
      <c r="K181" s="30">
        <f t="shared" ref="K181:L181" si="179">H181/12</f>
        <v>1.666666667</v>
      </c>
      <c r="L181" s="31">
        <f t="shared" si="179"/>
        <v>2206916.667</v>
      </c>
      <c r="M181" s="37">
        <v>0.0</v>
      </c>
      <c r="N181" s="33">
        <f t="shared" si="4"/>
        <v>5</v>
      </c>
      <c r="O181" s="34">
        <f t="shared" si="5"/>
        <v>5</v>
      </c>
      <c r="P181" s="35">
        <f t="shared" si="6"/>
        <v>5</v>
      </c>
      <c r="Q181" s="36"/>
      <c r="R181" s="14"/>
      <c r="S181" s="14"/>
      <c r="T181" s="14"/>
      <c r="U181" s="14"/>
      <c r="V181" s="14"/>
      <c r="W181" s="14"/>
      <c r="X181" s="14"/>
      <c r="Y181" s="14"/>
      <c r="Z181" s="14"/>
    </row>
    <row r="182" ht="12.75" customHeight="1">
      <c r="A182" s="26" t="s">
        <v>209</v>
      </c>
      <c r="B182" s="26" t="s">
        <v>48</v>
      </c>
      <c r="C182" s="26" t="s">
        <v>20</v>
      </c>
      <c r="D182" s="27">
        <v>20.0</v>
      </c>
      <c r="E182" s="28">
        <v>2.623945E7</v>
      </c>
      <c r="F182" s="27">
        <v>0.0</v>
      </c>
      <c r="G182" s="28">
        <v>0.0</v>
      </c>
      <c r="H182" s="27">
        <v>20.0</v>
      </c>
      <c r="I182" s="28">
        <v>2.623945E7</v>
      </c>
      <c r="J182" s="29">
        <f t="shared" si="2"/>
        <v>1311972.5</v>
      </c>
      <c r="K182" s="30">
        <f t="shared" ref="K182:L182" si="180">H182/12</f>
        <v>1.666666667</v>
      </c>
      <c r="L182" s="31">
        <f t="shared" si="180"/>
        <v>2186620.833</v>
      </c>
      <c r="M182" s="32">
        <v>1.0</v>
      </c>
      <c r="N182" s="33">
        <f t="shared" si="4"/>
        <v>5</v>
      </c>
      <c r="O182" s="34">
        <f t="shared" si="5"/>
        <v>4</v>
      </c>
      <c r="P182" s="35">
        <f t="shared" si="6"/>
        <v>4</v>
      </c>
      <c r="Q182" s="36"/>
      <c r="R182" s="14"/>
      <c r="S182" s="14"/>
      <c r="T182" s="14"/>
      <c r="U182" s="14"/>
      <c r="V182" s="14"/>
      <c r="W182" s="14"/>
      <c r="X182" s="14"/>
      <c r="Y182" s="14"/>
      <c r="Z182" s="14"/>
    </row>
    <row r="183" ht="12.75" customHeight="1">
      <c r="A183" s="26" t="s">
        <v>210</v>
      </c>
      <c r="B183" s="26" t="s">
        <v>48</v>
      </c>
      <c r="C183" s="26" t="s">
        <v>20</v>
      </c>
      <c r="D183" s="27">
        <v>15.0</v>
      </c>
      <c r="E183" s="28">
        <v>2.50497E7</v>
      </c>
      <c r="F183" s="27">
        <v>0.0</v>
      </c>
      <c r="G183" s="28">
        <v>0.0</v>
      </c>
      <c r="H183" s="27">
        <v>15.0</v>
      </c>
      <c r="I183" s="28">
        <v>2.50497E7</v>
      </c>
      <c r="J183" s="29">
        <f t="shared" si="2"/>
        <v>1669980</v>
      </c>
      <c r="K183" s="30">
        <f t="shared" ref="K183:L183" si="181">H183/12</f>
        <v>1.25</v>
      </c>
      <c r="L183" s="31">
        <f t="shared" si="181"/>
        <v>2087475</v>
      </c>
      <c r="M183" s="32">
        <v>3.0</v>
      </c>
      <c r="N183" s="33">
        <f t="shared" si="4"/>
        <v>3.75</v>
      </c>
      <c r="O183" s="34">
        <f t="shared" si="5"/>
        <v>0.75</v>
      </c>
      <c r="P183" s="35">
        <f t="shared" si="6"/>
        <v>0.75</v>
      </c>
      <c r="Q183" s="36"/>
      <c r="R183" s="14"/>
      <c r="S183" s="14"/>
      <c r="T183" s="14"/>
      <c r="U183" s="14"/>
      <c r="V183" s="14"/>
      <c r="W183" s="14"/>
      <c r="X183" s="14"/>
      <c r="Y183" s="14"/>
      <c r="Z183" s="14"/>
    </row>
    <row r="184" ht="12.75" customHeight="1">
      <c r="A184" s="26" t="s">
        <v>211</v>
      </c>
      <c r="B184" s="26" t="s">
        <v>81</v>
      </c>
      <c r="C184" s="26" t="s">
        <v>36</v>
      </c>
      <c r="D184" s="27">
        <v>108.0</v>
      </c>
      <c r="E184" s="28">
        <v>2.4745E7</v>
      </c>
      <c r="F184" s="27">
        <v>0.0</v>
      </c>
      <c r="G184" s="28">
        <v>0.0</v>
      </c>
      <c r="H184" s="27">
        <v>108.0</v>
      </c>
      <c r="I184" s="28">
        <v>2.4745E7</v>
      </c>
      <c r="J184" s="29">
        <f t="shared" si="2"/>
        <v>229120.3704</v>
      </c>
      <c r="K184" s="30">
        <f t="shared" ref="K184:L184" si="182">H184/12</f>
        <v>9</v>
      </c>
      <c r="L184" s="31">
        <f t="shared" si="182"/>
        <v>2062083.333</v>
      </c>
      <c r="M184" s="37">
        <v>0.0</v>
      </c>
      <c r="N184" s="33">
        <f t="shared" si="4"/>
        <v>27</v>
      </c>
      <c r="O184" s="34">
        <f t="shared" si="5"/>
        <v>27</v>
      </c>
      <c r="P184" s="35">
        <f t="shared" si="6"/>
        <v>27</v>
      </c>
      <c r="Q184" s="36"/>
      <c r="R184" s="14"/>
      <c r="S184" s="14"/>
      <c r="T184" s="14"/>
      <c r="U184" s="14"/>
      <c r="V184" s="14"/>
      <c r="W184" s="14"/>
      <c r="X184" s="14"/>
      <c r="Y184" s="14"/>
      <c r="Z184" s="14"/>
    </row>
    <row r="185" ht="12.75" customHeight="1">
      <c r="A185" s="26" t="s">
        <v>212</v>
      </c>
      <c r="B185" s="26" t="s">
        <v>48</v>
      </c>
      <c r="C185" s="26" t="s">
        <v>20</v>
      </c>
      <c r="D185" s="27">
        <v>17.0</v>
      </c>
      <c r="E185" s="28">
        <v>2.4493E7</v>
      </c>
      <c r="F185" s="27">
        <v>0.0</v>
      </c>
      <c r="G185" s="28">
        <v>0.0</v>
      </c>
      <c r="H185" s="27">
        <v>17.0</v>
      </c>
      <c r="I185" s="28">
        <v>2.4493E7</v>
      </c>
      <c r="J185" s="29">
        <f t="shared" si="2"/>
        <v>1440764.706</v>
      </c>
      <c r="K185" s="30">
        <f t="shared" ref="K185:L185" si="183">H185/12</f>
        <v>1.416666667</v>
      </c>
      <c r="L185" s="31">
        <f t="shared" si="183"/>
        <v>2041083.333</v>
      </c>
      <c r="M185" s="37">
        <v>4.0</v>
      </c>
      <c r="N185" s="33">
        <f t="shared" si="4"/>
        <v>4.25</v>
      </c>
      <c r="O185" s="34">
        <f t="shared" si="5"/>
        <v>0.25</v>
      </c>
      <c r="P185" s="35">
        <f t="shared" si="6"/>
        <v>0.25</v>
      </c>
      <c r="Q185" s="36"/>
      <c r="R185" s="14"/>
      <c r="S185" s="14"/>
      <c r="T185" s="14"/>
      <c r="U185" s="14"/>
      <c r="V185" s="14"/>
      <c r="W185" s="14"/>
      <c r="X185" s="14"/>
      <c r="Y185" s="14"/>
      <c r="Z185" s="14"/>
    </row>
    <row r="186" ht="12.75" customHeight="1">
      <c r="A186" s="26" t="s">
        <v>213</v>
      </c>
      <c r="B186" s="26" t="s">
        <v>35</v>
      </c>
      <c r="C186" s="26" t="s">
        <v>36</v>
      </c>
      <c r="D186" s="27">
        <v>199.0</v>
      </c>
      <c r="E186" s="28">
        <v>2.26425E7</v>
      </c>
      <c r="F186" s="27">
        <v>0.0</v>
      </c>
      <c r="G186" s="28">
        <v>0.0</v>
      </c>
      <c r="H186" s="27">
        <v>199.0</v>
      </c>
      <c r="I186" s="28">
        <v>2.26425E7</v>
      </c>
      <c r="J186" s="29">
        <f t="shared" si="2"/>
        <v>113781.407</v>
      </c>
      <c r="K186" s="30">
        <f t="shared" ref="K186:L186" si="184">H186/12</f>
        <v>16.58333333</v>
      </c>
      <c r="L186" s="31">
        <f t="shared" si="184"/>
        <v>1886875</v>
      </c>
      <c r="M186" s="32">
        <v>788.0</v>
      </c>
      <c r="N186" s="33">
        <f t="shared" si="4"/>
        <v>49.75</v>
      </c>
      <c r="O186" s="34">
        <f t="shared" si="5"/>
        <v>-738.25</v>
      </c>
      <c r="P186" s="35" t="str">
        <f t="shared" si="6"/>
        <v/>
      </c>
      <c r="Q186" s="36"/>
      <c r="R186" s="14"/>
      <c r="S186" s="14"/>
      <c r="T186" s="14"/>
      <c r="U186" s="14"/>
      <c r="V186" s="14"/>
      <c r="W186" s="14"/>
      <c r="X186" s="14"/>
      <c r="Y186" s="14"/>
      <c r="Z186" s="14"/>
    </row>
    <row r="187" ht="12.75" customHeight="1">
      <c r="A187" s="26" t="s">
        <v>214</v>
      </c>
      <c r="B187" s="26" t="s">
        <v>215</v>
      </c>
      <c r="C187" s="26" t="s">
        <v>36</v>
      </c>
      <c r="D187" s="27">
        <v>437.0</v>
      </c>
      <c r="E187" s="28">
        <v>2.2636E7</v>
      </c>
      <c r="F187" s="27">
        <v>0.0</v>
      </c>
      <c r="G187" s="28">
        <v>0.0</v>
      </c>
      <c r="H187" s="27">
        <v>437.0</v>
      </c>
      <c r="I187" s="28">
        <v>2.2636E7</v>
      </c>
      <c r="J187" s="29">
        <f t="shared" si="2"/>
        <v>51798.627</v>
      </c>
      <c r="K187" s="30">
        <f t="shared" ref="K187:L187" si="185">H187/12</f>
        <v>36.41666667</v>
      </c>
      <c r="L187" s="31">
        <f t="shared" si="185"/>
        <v>1886333.333</v>
      </c>
      <c r="M187" s="32">
        <v>143.0</v>
      </c>
      <c r="N187" s="33">
        <f t="shared" si="4"/>
        <v>109.25</v>
      </c>
      <c r="O187" s="34">
        <f t="shared" si="5"/>
        <v>-33.75</v>
      </c>
      <c r="P187" s="35" t="str">
        <f t="shared" si="6"/>
        <v/>
      </c>
      <c r="Q187" s="36"/>
      <c r="R187" s="14"/>
      <c r="S187" s="14"/>
      <c r="T187" s="14"/>
      <c r="U187" s="14"/>
      <c r="V187" s="14"/>
      <c r="W187" s="14"/>
      <c r="X187" s="14"/>
      <c r="Y187" s="14"/>
      <c r="Z187" s="14"/>
    </row>
    <row r="188" ht="12.75" customHeight="1">
      <c r="A188" s="26" t="s">
        <v>216</v>
      </c>
      <c r="B188" s="26" t="s">
        <v>169</v>
      </c>
      <c r="C188" s="26" t="s">
        <v>36</v>
      </c>
      <c r="D188" s="27">
        <v>549.0</v>
      </c>
      <c r="E188" s="28">
        <v>2.23223E7</v>
      </c>
      <c r="F188" s="27">
        <v>0.0</v>
      </c>
      <c r="G188" s="28">
        <v>0.0</v>
      </c>
      <c r="H188" s="27">
        <v>549.0</v>
      </c>
      <c r="I188" s="28">
        <v>2.23223E7</v>
      </c>
      <c r="J188" s="29">
        <f t="shared" si="2"/>
        <v>40659.92714</v>
      </c>
      <c r="K188" s="30">
        <f t="shared" ref="K188:L188" si="186">H188/12</f>
        <v>45.75</v>
      </c>
      <c r="L188" s="31">
        <f t="shared" si="186"/>
        <v>1860191.667</v>
      </c>
      <c r="M188" s="32">
        <v>0.0</v>
      </c>
      <c r="N188" s="33">
        <f t="shared" si="4"/>
        <v>137.25</v>
      </c>
      <c r="O188" s="34">
        <f t="shared" si="5"/>
        <v>137.25</v>
      </c>
      <c r="P188" s="35">
        <f t="shared" si="6"/>
        <v>137.25</v>
      </c>
      <c r="Q188" s="36"/>
      <c r="R188" s="14"/>
      <c r="S188" s="14"/>
      <c r="T188" s="14"/>
      <c r="U188" s="14"/>
      <c r="V188" s="14"/>
      <c r="W188" s="14"/>
      <c r="X188" s="14"/>
      <c r="Y188" s="14"/>
      <c r="Z188" s="14"/>
    </row>
    <row r="189" ht="12.75" customHeight="1">
      <c r="A189" s="26" t="s">
        <v>217</v>
      </c>
      <c r="B189" s="26" t="s">
        <v>25</v>
      </c>
      <c r="C189" s="26" t="s">
        <v>20</v>
      </c>
      <c r="D189" s="27">
        <v>43.0</v>
      </c>
      <c r="E189" s="28">
        <v>2.20832E7</v>
      </c>
      <c r="F189" s="27">
        <v>0.0</v>
      </c>
      <c r="G189" s="28">
        <v>0.0</v>
      </c>
      <c r="H189" s="27">
        <v>43.0</v>
      </c>
      <c r="I189" s="28">
        <v>2.20832E7</v>
      </c>
      <c r="J189" s="29">
        <f t="shared" si="2"/>
        <v>513562.7907</v>
      </c>
      <c r="K189" s="30">
        <f t="shared" ref="K189:L189" si="187">H189/12</f>
        <v>3.583333333</v>
      </c>
      <c r="L189" s="31">
        <f t="shared" si="187"/>
        <v>1840266.667</v>
      </c>
      <c r="M189" s="37">
        <v>0.0</v>
      </c>
      <c r="N189" s="33">
        <f t="shared" si="4"/>
        <v>10.75</v>
      </c>
      <c r="O189" s="34">
        <f t="shared" si="5"/>
        <v>10.75</v>
      </c>
      <c r="P189" s="35">
        <f t="shared" si="6"/>
        <v>10.75</v>
      </c>
      <c r="Q189" s="36"/>
      <c r="R189" s="14"/>
      <c r="S189" s="14"/>
      <c r="T189" s="14"/>
      <c r="U189" s="14"/>
      <c r="V189" s="14"/>
      <c r="W189" s="14"/>
      <c r="X189" s="14"/>
      <c r="Y189" s="14"/>
      <c r="Z189" s="14"/>
    </row>
    <row r="190" ht="12.75" customHeight="1">
      <c r="A190" s="26" t="s">
        <v>218</v>
      </c>
      <c r="B190" s="26" t="s">
        <v>31</v>
      </c>
      <c r="C190" s="26" t="s">
        <v>20</v>
      </c>
      <c r="D190" s="27">
        <v>16.0</v>
      </c>
      <c r="E190" s="28">
        <v>2.17805E7</v>
      </c>
      <c r="F190" s="27">
        <v>0.0</v>
      </c>
      <c r="G190" s="28">
        <v>0.0</v>
      </c>
      <c r="H190" s="27">
        <v>16.0</v>
      </c>
      <c r="I190" s="28">
        <v>2.17805E7</v>
      </c>
      <c r="J190" s="29">
        <f t="shared" si="2"/>
        <v>1361281.25</v>
      </c>
      <c r="K190" s="30">
        <f t="shared" ref="K190:L190" si="188">H190/12</f>
        <v>1.333333333</v>
      </c>
      <c r="L190" s="31">
        <f t="shared" si="188"/>
        <v>1815041.667</v>
      </c>
      <c r="M190" s="37">
        <v>0.0</v>
      </c>
      <c r="N190" s="33">
        <f t="shared" si="4"/>
        <v>4</v>
      </c>
      <c r="O190" s="34">
        <f t="shared" si="5"/>
        <v>4</v>
      </c>
      <c r="P190" s="35">
        <f t="shared" si="6"/>
        <v>4</v>
      </c>
      <c r="Q190" s="36"/>
      <c r="R190" s="14"/>
      <c r="S190" s="14"/>
      <c r="T190" s="14"/>
      <c r="U190" s="14"/>
      <c r="V190" s="14"/>
      <c r="W190" s="14"/>
      <c r="X190" s="14"/>
      <c r="Y190" s="14"/>
      <c r="Z190" s="14"/>
    </row>
    <row r="191" ht="12.75" customHeight="1">
      <c r="A191" s="26" t="s">
        <v>219</v>
      </c>
      <c r="B191" s="26" t="s">
        <v>220</v>
      </c>
      <c r="C191" s="26" t="s">
        <v>20</v>
      </c>
      <c r="D191" s="27">
        <v>2.0</v>
      </c>
      <c r="E191" s="28">
        <v>1.98E7</v>
      </c>
      <c r="F191" s="27">
        <v>0.0</v>
      </c>
      <c r="G191" s="28">
        <v>0.0</v>
      </c>
      <c r="H191" s="27">
        <v>2.0</v>
      </c>
      <c r="I191" s="28">
        <v>1.98E7</v>
      </c>
      <c r="J191" s="29">
        <f t="shared" si="2"/>
        <v>9900000</v>
      </c>
      <c r="K191" s="30">
        <f t="shared" ref="K191:L191" si="189">H191/12</f>
        <v>0.1666666667</v>
      </c>
      <c r="L191" s="31">
        <f t="shared" si="189"/>
        <v>1650000</v>
      </c>
      <c r="M191" s="32">
        <v>20.0</v>
      </c>
      <c r="N191" s="33">
        <f t="shared" si="4"/>
        <v>0.5</v>
      </c>
      <c r="O191" s="34">
        <f t="shared" si="5"/>
        <v>-19.5</v>
      </c>
      <c r="P191" s="35" t="str">
        <f t="shared" si="6"/>
        <v/>
      </c>
      <c r="Q191" s="36"/>
      <c r="R191" s="14"/>
      <c r="S191" s="14"/>
      <c r="T191" s="14"/>
      <c r="U191" s="14"/>
      <c r="V191" s="14"/>
      <c r="W191" s="14"/>
      <c r="X191" s="14"/>
      <c r="Y191" s="14"/>
      <c r="Z191" s="14"/>
    </row>
    <row r="192" ht="12.75" customHeight="1">
      <c r="A192" s="26" t="s">
        <v>221</v>
      </c>
      <c r="B192" s="26" t="s">
        <v>169</v>
      </c>
      <c r="C192" s="26" t="s">
        <v>36</v>
      </c>
      <c r="D192" s="27">
        <v>378.0</v>
      </c>
      <c r="E192" s="28">
        <v>1.85582E7</v>
      </c>
      <c r="F192" s="27">
        <v>0.0</v>
      </c>
      <c r="G192" s="28">
        <v>0.0</v>
      </c>
      <c r="H192" s="27">
        <v>378.0</v>
      </c>
      <c r="I192" s="28">
        <v>1.85582E7</v>
      </c>
      <c r="J192" s="29">
        <f t="shared" si="2"/>
        <v>49095.7672</v>
      </c>
      <c r="K192" s="30">
        <f t="shared" ref="K192:L192" si="190">H192/12</f>
        <v>31.5</v>
      </c>
      <c r="L192" s="31">
        <f t="shared" si="190"/>
        <v>1546516.667</v>
      </c>
      <c r="M192" s="37">
        <v>86.0</v>
      </c>
      <c r="N192" s="33">
        <f t="shared" si="4"/>
        <v>94.5</v>
      </c>
      <c r="O192" s="34">
        <f t="shared" si="5"/>
        <v>8.5</v>
      </c>
      <c r="P192" s="35">
        <f t="shared" si="6"/>
        <v>8.5</v>
      </c>
      <c r="Q192" s="36"/>
      <c r="R192" s="14"/>
      <c r="S192" s="14"/>
      <c r="T192" s="14"/>
      <c r="U192" s="14"/>
      <c r="V192" s="14"/>
      <c r="W192" s="14"/>
      <c r="X192" s="14"/>
      <c r="Y192" s="14"/>
      <c r="Z192" s="14"/>
    </row>
    <row r="193" ht="12.75" customHeight="1">
      <c r="A193" s="26" t="s">
        <v>222</v>
      </c>
      <c r="B193" s="26" t="s">
        <v>81</v>
      </c>
      <c r="C193" s="26" t="s">
        <v>36</v>
      </c>
      <c r="D193" s="27">
        <v>49.0</v>
      </c>
      <c r="E193" s="28">
        <v>1.84402E7</v>
      </c>
      <c r="F193" s="27">
        <v>0.0</v>
      </c>
      <c r="G193" s="28">
        <v>0.0</v>
      </c>
      <c r="H193" s="27">
        <v>49.0</v>
      </c>
      <c r="I193" s="28">
        <v>1.84402E7</v>
      </c>
      <c r="J193" s="29">
        <f t="shared" si="2"/>
        <v>376330.6122</v>
      </c>
      <c r="K193" s="30">
        <f t="shared" ref="K193:L193" si="191">H193/12</f>
        <v>4.083333333</v>
      </c>
      <c r="L193" s="31">
        <f t="shared" si="191"/>
        <v>1536683.333</v>
      </c>
      <c r="M193" s="37">
        <v>56.0</v>
      </c>
      <c r="N193" s="33">
        <f t="shared" si="4"/>
        <v>12.25</v>
      </c>
      <c r="O193" s="34">
        <f t="shared" si="5"/>
        <v>-43.75</v>
      </c>
      <c r="P193" s="35" t="str">
        <f t="shared" si="6"/>
        <v/>
      </c>
      <c r="Q193" s="36"/>
      <c r="R193" s="14"/>
      <c r="S193" s="14"/>
      <c r="T193" s="14"/>
      <c r="U193" s="14"/>
      <c r="V193" s="14"/>
      <c r="W193" s="14"/>
      <c r="X193" s="14"/>
      <c r="Y193" s="14"/>
      <c r="Z193" s="14"/>
    </row>
    <row r="194" ht="12.75" customHeight="1">
      <c r="A194" s="26" t="s">
        <v>223</v>
      </c>
      <c r="B194" s="26" t="s">
        <v>169</v>
      </c>
      <c r="C194" s="26" t="s">
        <v>36</v>
      </c>
      <c r="D194" s="27">
        <v>760.0</v>
      </c>
      <c r="E194" s="28">
        <v>1.777675E7</v>
      </c>
      <c r="F194" s="27">
        <v>0.0</v>
      </c>
      <c r="G194" s="28">
        <v>0.0</v>
      </c>
      <c r="H194" s="27">
        <v>760.0</v>
      </c>
      <c r="I194" s="28">
        <v>1.777675E7</v>
      </c>
      <c r="J194" s="29">
        <f t="shared" si="2"/>
        <v>23390.46053</v>
      </c>
      <c r="K194" s="30">
        <f t="shared" ref="K194:L194" si="192">H194/12</f>
        <v>63.33333333</v>
      </c>
      <c r="L194" s="31">
        <f t="shared" si="192"/>
        <v>1481395.833</v>
      </c>
      <c r="M194" s="32">
        <v>4029.0</v>
      </c>
      <c r="N194" s="33">
        <f t="shared" si="4"/>
        <v>190</v>
      </c>
      <c r="O194" s="34">
        <f t="shared" si="5"/>
        <v>-3839</v>
      </c>
      <c r="P194" s="35" t="str">
        <f t="shared" si="6"/>
        <v/>
      </c>
      <c r="Q194" s="36"/>
      <c r="R194" s="14"/>
      <c r="S194" s="14"/>
      <c r="T194" s="14"/>
      <c r="U194" s="14"/>
      <c r="V194" s="14"/>
      <c r="W194" s="14"/>
      <c r="X194" s="14"/>
      <c r="Y194" s="14"/>
      <c r="Z194" s="14"/>
    </row>
    <row r="195" ht="12.75" customHeight="1">
      <c r="A195" s="26" t="s">
        <v>224</v>
      </c>
      <c r="B195" s="26" t="s">
        <v>169</v>
      </c>
      <c r="C195" s="26" t="s">
        <v>203</v>
      </c>
      <c r="D195" s="27">
        <v>183.0</v>
      </c>
      <c r="E195" s="28">
        <v>1.752725E7</v>
      </c>
      <c r="F195" s="27">
        <v>0.0</v>
      </c>
      <c r="G195" s="28">
        <v>0.0</v>
      </c>
      <c r="H195" s="27">
        <v>183.0</v>
      </c>
      <c r="I195" s="28">
        <v>1.752725E7</v>
      </c>
      <c r="J195" s="29">
        <f t="shared" si="2"/>
        <v>95777.3224</v>
      </c>
      <c r="K195" s="30">
        <f t="shared" ref="K195:L195" si="193">H195/12</f>
        <v>15.25</v>
      </c>
      <c r="L195" s="31">
        <f t="shared" si="193"/>
        <v>1460604.167</v>
      </c>
      <c r="M195" s="32">
        <v>598.0</v>
      </c>
      <c r="N195" s="33">
        <f t="shared" si="4"/>
        <v>45.75</v>
      </c>
      <c r="O195" s="34">
        <f t="shared" si="5"/>
        <v>-552.25</v>
      </c>
      <c r="P195" s="35" t="str">
        <f t="shared" si="6"/>
        <v/>
      </c>
      <c r="Q195" s="36"/>
      <c r="R195" s="14"/>
      <c r="S195" s="14"/>
      <c r="T195" s="14"/>
      <c r="U195" s="14"/>
      <c r="V195" s="14"/>
      <c r="W195" s="14"/>
      <c r="X195" s="14"/>
      <c r="Y195" s="14"/>
      <c r="Z195" s="14"/>
    </row>
    <row r="196" ht="12.75" customHeight="1">
      <c r="A196" s="26" t="s">
        <v>225</v>
      </c>
      <c r="B196" s="26" t="s">
        <v>169</v>
      </c>
      <c r="C196" s="26" t="s">
        <v>36</v>
      </c>
      <c r="D196" s="27">
        <v>342.0</v>
      </c>
      <c r="E196" s="28">
        <v>1.69287E7</v>
      </c>
      <c r="F196" s="27">
        <v>0.0</v>
      </c>
      <c r="G196" s="28">
        <v>0.0</v>
      </c>
      <c r="H196" s="27">
        <v>342.0</v>
      </c>
      <c r="I196" s="28">
        <v>1.69287E7</v>
      </c>
      <c r="J196" s="29">
        <f t="shared" si="2"/>
        <v>49499.12281</v>
      </c>
      <c r="K196" s="30">
        <f t="shared" ref="K196:L196" si="194">H196/12</f>
        <v>28.5</v>
      </c>
      <c r="L196" s="31">
        <f t="shared" si="194"/>
        <v>1410725</v>
      </c>
      <c r="M196" s="37">
        <v>1469.0</v>
      </c>
      <c r="N196" s="33">
        <f t="shared" si="4"/>
        <v>85.5</v>
      </c>
      <c r="O196" s="34">
        <f t="shared" si="5"/>
        <v>-1383.5</v>
      </c>
      <c r="P196" s="35" t="str">
        <f t="shared" si="6"/>
        <v/>
      </c>
      <c r="Q196" s="36"/>
      <c r="R196" s="14"/>
      <c r="S196" s="14"/>
      <c r="T196" s="14"/>
      <c r="U196" s="14"/>
      <c r="V196" s="14"/>
      <c r="W196" s="14"/>
      <c r="X196" s="14"/>
      <c r="Y196" s="14"/>
      <c r="Z196" s="14"/>
    </row>
    <row r="197" ht="12.75" customHeight="1">
      <c r="A197" s="26" t="s">
        <v>226</v>
      </c>
      <c r="B197" s="26" t="s">
        <v>169</v>
      </c>
      <c r="C197" s="26" t="s">
        <v>36</v>
      </c>
      <c r="D197" s="27">
        <v>389.0</v>
      </c>
      <c r="E197" s="28">
        <v>1.62575E7</v>
      </c>
      <c r="F197" s="27">
        <v>0.0</v>
      </c>
      <c r="G197" s="28">
        <v>0.0</v>
      </c>
      <c r="H197" s="27">
        <v>389.0</v>
      </c>
      <c r="I197" s="28">
        <v>1.62575E7</v>
      </c>
      <c r="J197" s="29">
        <f t="shared" si="2"/>
        <v>41793.05913</v>
      </c>
      <c r="K197" s="30">
        <f t="shared" ref="K197:L197" si="195">H197/12</f>
        <v>32.41666667</v>
      </c>
      <c r="L197" s="31">
        <f t="shared" si="195"/>
        <v>1354791.667</v>
      </c>
      <c r="M197" s="37">
        <v>1611.0</v>
      </c>
      <c r="N197" s="33">
        <f t="shared" si="4"/>
        <v>97.25</v>
      </c>
      <c r="O197" s="34">
        <f t="shared" si="5"/>
        <v>-1513.75</v>
      </c>
      <c r="P197" s="35" t="str">
        <f t="shared" si="6"/>
        <v/>
      </c>
      <c r="Q197" s="36"/>
      <c r="R197" s="14"/>
      <c r="S197" s="14"/>
      <c r="T197" s="14"/>
      <c r="U197" s="14"/>
      <c r="V197" s="14"/>
      <c r="W197" s="14"/>
      <c r="X197" s="14"/>
      <c r="Y197" s="14"/>
      <c r="Z197" s="14"/>
    </row>
    <row r="198" ht="12.75" customHeight="1">
      <c r="A198" s="26" t="s">
        <v>227</v>
      </c>
      <c r="B198" s="26" t="s">
        <v>31</v>
      </c>
      <c r="C198" s="26" t="s">
        <v>20</v>
      </c>
      <c r="D198" s="27">
        <v>16.0</v>
      </c>
      <c r="E198" s="28">
        <v>1.51925E7</v>
      </c>
      <c r="F198" s="27">
        <v>0.0</v>
      </c>
      <c r="G198" s="28">
        <v>0.0</v>
      </c>
      <c r="H198" s="27">
        <v>16.0</v>
      </c>
      <c r="I198" s="28">
        <v>1.51925E7</v>
      </c>
      <c r="J198" s="29">
        <f t="shared" si="2"/>
        <v>949531.25</v>
      </c>
      <c r="K198" s="30">
        <f t="shared" ref="K198:L198" si="196">H198/12</f>
        <v>1.333333333</v>
      </c>
      <c r="L198" s="31">
        <f t="shared" si="196"/>
        <v>1266041.667</v>
      </c>
      <c r="M198" s="32">
        <v>4.0</v>
      </c>
      <c r="N198" s="33">
        <f t="shared" si="4"/>
        <v>4</v>
      </c>
      <c r="O198" s="34">
        <f t="shared" si="5"/>
        <v>0</v>
      </c>
      <c r="P198" s="35" t="str">
        <f t="shared" si="6"/>
        <v/>
      </c>
      <c r="Q198" s="36"/>
      <c r="R198" s="14"/>
      <c r="S198" s="14"/>
      <c r="T198" s="14"/>
      <c r="U198" s="14"/>
      <c r="V198" s="14"/>
      <c r="W198" s="14"/>
      <c r="X198" s="14"/>
      <c r="Y198" s="14"/>
      <c r="Z198" s="14"/>
    </row>
    <row r="199" ht="12.75" customHeight="1">
      <c r="A199" s="26" t="s">
        <v>228</v>
      </c>
      <c r="B199" s="26" t="s">
        <v>169</v>
      </c>
      <c r="C199" s="26" t="s">
        <v>36</v>
      </c>
      <c r="D199" s="27">
        <v>175.0</v>
      </c>
      <c r="E199" s="28">
        <v>1.46096E7</v>
      </c>
      <c r="F199" s="27">
        <v>0.0</v>
      </c>
      <c r="G199" s="28">
        <v>0.0</v>
      </c>
      <c r="H199" s="27">
        <v>175.0</v>
      </c>
      <c r="I199" s="28">
        <v>1.46096E7</v>
      </c>
      <c r="J199" s="29">
        <f t="shared" si="2"/>
        <v>83483.42857</v>
      </c>
      <c r="K199" s="30">
        <f t="shared" ref="K199:L199" si="197">H199/12</f>
        <v>14.58333333</v>
      </c>
      <c r="L199" s="31">
        <f t="shared" si="197"/>
        <v>1217466.667</v>
      </c>
      <c r="M199" s="32">
        <v>285.0</v>
      </c>
      <c r="N199" s="33">
        <f t="shared" si="4"/>
        <v>43.75</v>
      </c>
      <c r="O199" s="34">
        <f t="shared" si="5"/>
        <v>-241.25</v>
      </c>
      <c r="P199" s="35" t="str">
        <f t="shared" si="6"/>
        <v/>
      </c>
      <c r="Q199" s="36"/>
      <c r="R199" s="14"/>
      <c r="S199" s="14"/>
      <c r="T199" s="14"/>
      <c r="U199" s="14"/>
      <c r="V199" s="14"/>
      <c r="W199" s="14"/>
      <c r="X199" s="14"/>
      <c r="Y199" s="14"/>
      <c r="Z199" s="14"/>
    </row>
    <row r="200" ht="12.75" customHeight="1">
      <c r="A200" s="26" t="s">
        <v>229</v>
      </c>
      <c r="B200" s="26" t="s">
        <v>31</v>
      </c>
      <c r="C200" s="26" t="s">
        <v>20</v>
      </c>
      <c r="D200" s="27">
        <v>18.0</v>
      </c>
      <c r="E200" s="28">
        <v>1.46088E7</v>
      </c>
      <c r="F200" s="27">
        <v>0.0</v>
      </c>
      <c r="G200" s="28">
        <v>0.0</v>
      </c>
      <c r="H200" s="27">
        <v>18.0</v>
      </c>
      <c r="I200" s="28">
        <v>1.46088E7</v>
      </c>
      <c r="J200" s="29">
        <f t="shared" si="2"/>
        <v>811600</v>
      </c>
      <c r="K200" s="30">
        <f t="shared" ref="K200:L200" si="198">H200/12</f>
        <v>1.5</v>
      </c>
      <c r="L200" s="31">
        <f t="shared" si="198"/>
        <v>1217400</v>
      </c>
      <c r="M200" s="37">
        <v>2.0</v>
      </c>
      <c r="N200" s="33">
        <f t="shared" si="4"/>
        <v>4.5</v>
      </c>
      <c r="O200" s="34">
        <f t="shared" si="5"/>
        <v>2.5</v>
      </c>
      <c r="P200" s="35">
        <f t="shared" si="6"/>
        <v>2.5</v>
      </c>
      <c r="Q200" s="36"/>
      <c r="R200" s="14"/>
      <c r="S200" s="14"/>
      <c r="T200" s="14"/>
      <c r="U200" s="14"/>
      <c r="V200" s="14"/>
      <c r="W200" s="14"/>
      <c r="X200" s="14"/>
      <c r="Y200" s="14"/>
      <c r="Z200" s="14"/>
    </row>
    <row r="201" ht="12.75" customHeight="1">
      <c r="A201" s="26" t="s">
        <v>230</v>
      </c>
      <c r="B201" s="26" t="s">
        <v>48</v>
      </c>
      <c r="C201" s="26" t="s">
        <v>20</v>
      </c>
      <c r="D201" s="27">
        <v>9.0</v>
      </c>
      <c r="E201" s="28">
        <v>1.423125E7</v>
      </c>
      <c r="F201" s="27">
        <v>0.0</v>
      </c>
      <c r="G201" s="28">
        <v>0.0</v>
      </c>
      <c r="H201" s="27">
        <v>9.0</v>
      </c>
      <c r="I201" s="28">
        <v>1.423125E7</v>
      </c>
      <c r="J201" s="29">
        <f t="shared" si="2"/>
        <v>1581250</v>
      </c>
      <c r="K201" s="30">
        <f t="shared" ref="K201:L201" si="199">H201/12</f>
        <v>0.75</v>
      </c>
      <c r="L201" s="31">
        <f t="shared" si="199"/>
        <v>1185937.5</v>
      </c>
      <c r="M201" s="37">
        <v>0.0</v>
      </c>
      <c r="N201" s="33">
        <f t="shared" si="4"/>
        <v>2.25</v>
      </c>
      <c r="O201" s="34">
        <f t="shared" si="5"/>
        <v>2.25</v>
      </c>
      <c r="P201" s="35">
        <f t="shared" si="6"/>
        <v>2.25</v>
      </c>
      <c r="Q201" s="36"/>
      <c r="R201" s="14"/>
      <c r="S201" s="14"/>
      <c r="T201" s="14"/>
      <c r="U201" s="14"/>
      <c r="V201" s="14"/>
      <c r="W201" s="14"/>
      <c r="X201" s="14"/>
      <c r="Y201" s="14"/>
      <c r="Z201" s="14"/>
    </row>
    <row r="202" ht="12.75" customHeight="1">
      <c r="A202" s="26" t="s">
        <v>231</v>
      </c>
      <c r="B202" s="26" t="s">
        <v>81</v>
      </c>
      <c r="C202" s="26" t="s">
        <v>36</v>
      </c>
      <c r="D202" s="27">
        <v>89.0</v>
      </c>
      <c r="E202" s="28">
        <v>1.36125E7</v>
      </c>
      <c r="F202" s="27">
        <v>0.0</v>
      </c>
      <c r="G202" s="28">
        <v>0.0</v>
      </c>
      <c r="H202" s="27">
        <v>89.0</v>
      </c>
      <c r="I202" s="28">
        <v>1.36125E7</v>
      </c>
      <c r="J202" s="29">
        <f t="shared" si="2"/>
        <v>152949.4382</v>
      </c>
      <c r="K202" s="30">
        <f t="shared" ref="K202:L202" si="200">H202/12</f>
        <v>7.416666667</v>
      </c>
      <c r="L202" s="31">
        <f t="shared" si="200"/>
        <v>1134375</v>
      </c>
      <c r="M202" s="32">
        <v>1.0</v>
      </c>
      <c r="N202" s="33">
        <f t="shared" si="4"/>
        <v>22.25</v>
      </c>
      <c r="O202" s="34">
        <f t="shared" si="5"/>
        <v>21.25</v>
      </c>
      <c r="P202" s="35">
        <f t="shared" si="6"/>
        <v>21.25</v>
      </c>
      <c r="Q202" s="36"/>
      <c r="R202" s="14"/>
      <c r="S202" s="14"/>
      <c r="T202" s="14"/>
      <c r="U202" s="14"/>
      <c r="V202" s="14"/>
      <c r="W202" s="14"/>
      <c r="X202" s="14"/>
      <c r="Y202" s="14"/>
      <c r="Z202" s="14"/>
    </row>
    <row r="203" ht="12.75" customHeight="1">
      <c r="A203" s="26" t="s">
        <v>232</v>
      </c>
      <c r="B203" s="26" t="s">
        <v>48</v>
      </c>
      <c r="C203" s="26" t="s">
        <v>20</v>
      </c>
      <c r="D203" s="27">
        <v>7.0</v>
      </c>
      <c r="E203" s="28">
        <v>1.22305E7</v>
      </c>
      <c r="F203" s="27">
        <v>0.0</v>
      </c>
      <c r="G203" s="28">
        <v>0.0</v>
      </c>
      <c r="H203" s="27">
        <v>7.0</v>
      </c>
      <c r="I203" s="28">
        <v>1.22305E7</v>
      </c>
      <c r="J203" s="29">
        <f t="shared" si="2"/>
        <v>1747214.286</v>
      </c>
      <c r="K203" s="30">
        <f t="shared" ref="K203:L203" si="201">H203/12</f>
        <v>0.5833333333</v>
      </c>
      <c r="L203" s="31">
        <f t="shared" si="201"/>
        <v>1019208.333</v>
      </c>
      <c r="M203" s="32">
        <v>29.0</v>
      </c>
      <c r="N203" s="33">
        <f t="shared" si="4"/>
        <v>1.75</v>
      </c>
      <c r="O203" s="34">
        <f t="shared" si="5"/>
        <v>-27.25</v>
      </c>
      <c r="P203" s="35" t="str">
        <f t="shared" si="6"/>
        <v/>
      </c>
      <c r="Q203" s="36"/>
      <c r="R203" s="14"/>
      <c r="S203" s="14"/>
      <c r="T203" s="14"/>
      <c r="U203" s="14"/>
      <c r="V203" s="14"/>
      <c r="W203" s="14"/>
      <c r="X203" s="14"/>
      <c r="Y203" s="14"/>
      <c r="Z203" s="14"/>
    </row>
    <row r="204" ht="12.75" customHeight="1">
      <c r="A204" s="26" t="s">
        <v>233</v>
      </c>
      <c r="B204" s="26" t="s">
        <v>48</v>
      </c>
      <c r="C204" s="26" t="s">
        <v>20</v>
      </c>
      <c r="D204" s="27">
        <v>9.0</v>
      </c>
      <c r="E204" s="28">
        <v>1.153205E7</v>
      </c>
      <c r="F204" s="27">
        <v>0.0</v>
      </c>
      <c r="G204" s="28">
        <v>0.0</v>
      </c>
      <c r="H204" s="27">
        <v>9.0</v>
      </c>
      <c r="I204" s="28">
        <v>1.153205E7</v>
      </c>
      <c r="J204" s="29">
        <f t="shared" si="2"/>
        <v>1281338.889</v>
      </c>
      <c r="K204" s="30">
        <f t="shared" ref="K204:L204" si="202">H204/12</f>
        <v>0.75</v>
      </c>
      <c r="L204" s="31">
        <f t="shared" si="202"/>
        <v>961004.1667</v>
      </c>
      <c r="M204" s="32">
        <v>0.0</v>
      </c>
      <c r="N204" s="33">
        <f t="shared" si="4"/>
        <v>2.25</v>
      </c>
      <c r="O204" s="34">
        <f t="shared" si="5"/>
        <v>2.25</v>
      </c>
      <c r="P204" s="35">
        <f t="shared" si="6"/>
        <v>2.25</v>
      </c>
      <c r="Q204" s="36"/>
      <c r="R204" s="14"/>
      <c r="S204" s="14"/>
      <c r="T204" s="14"/>
      <c r="U204" s="14"/>
      <c r="V204" s="14"/>
      <c r="W204" s="14"/>
      <c r="X204" s="14"/>
      <c r="Y204" s="14"/>
      <c r="Z204" s="14"/>
    </row>
    <row r="205" ht="12.75" customHeight="1">
      <c r="A205" s="26" t="s">
        <v>234</v>
      </c>
      <c r="B205" s="26" t="s">
        <v>169</v>
      </c>
      <c r="C205" s="26" t="s">
        <v>36</v>
      </c>
      <c r="D205" s="27">
        <v>312.0</v>
      </c>
      <c r="E205" s="28">
        <v>1.118175E7</v>
      </c>
      <c r="F205" s="27">
        <v>0.0</v>
      </c>
      <c r="G205" s="28">
        <v>0.0</v>
      </c>
      <c r="H205" s="27">
        <v>312.0</v>
      </c>
      <c r="I205" s="28">
        <v>1.118175E7</v>
      </c>
      <c r="J205" s="29">
        <f t="shared" si="2"/>
        <v>35838.94231</v>
      </c>
      <c r="K205" s="30">
        <f t="shared" ref="K205:L205" si="203">H205/12</f>
        <v>26</v>
      </c>
      <c r="L205" s="31">
        <f t="shared" si="203"/>
        <v>931812.5</v>
      </c>
      <c r="M205" s="37">
        <v>163.0</v>
      </c>
      <c r="N205" s="33">
        <f t="shared" si="4"/>
        <v>78</v>
      </c>
      <c r="O205" s="34">
        <f t="shared" si="5"/>
        <v>-85</v>
      </c>
      <c r="P205" s="35" t="str">
        <f t="shared" si="6"/>
        <v/>
      </c>
      <c r="Q205" s="36"/>
      <c r="R205" s="14"/>
      <c r="S205" s="14"/>
      <c r="T205" s="14"/>
      <c r="U205" s="14"/>
      <c r="V205" s="14"/>
      <c r="W205" s="14"/>
      <c r="X205" s="14"/>
      <c r="Y205" s="14"/>
      <c r="Z205" s="14"/>
    </row>
    <row r="206" ht="12.75" customHeight="1">
      <c r="A206" s="26" t="s">
        <v>235</v>
      </c>
      <c r="B206" s="26" t="s">
        <v>46</v>
      </c>
      <c r="C206" s="26" t="s">
        <v>20</v>
      </c>
      <c r="D206" s="27">
        <v>6.0</v>
      </c>
      <c r="E206" s="28">
        <v>1.1129E7</v>
      </c>
      <c r="F206" s="27">
        <v>0.0</v>
      </c>
      <c r="G206" s="28">
        <v>0.0</v>
      </c>
      <c r="H206" s="27">
        <v>6.0</v>
      </c>
      <c r="I206" s="28">
        <v>1.1129E7</v>
      </c>
      <c r="J206" s="29">
        <f t="shared" si="2"/>
        <v>1854833.333</v>
      </c>
      <c r="K206" s="30">
        <f t="shared" ref="K206:L206" si="204">H206/12</f>
        <v>0.5</v>
      </c>
      <c r="L206" s="31">
        <f t="shared" si="204"/>
        <v>927416.6667</v>
      </c>
      <c r="M206" s="32">
        <v>0.0</v>
      </c>
      <c r="N206" s="33">
        <f t="shared" si="4"/>
        <v>1.5</v>
      </c>
      <c r="O206" s="34">
        <f t="shared" si="5"/>
        <v>1.5</v>
      </c>
      <c r="P206" s="35">
        <f t="shared" si="6"/>
        <v>1.5</v>
      </c>
      <c r="Q206" s="36"/>
      <c r="R206" s="14"/>
      <c r="S206" s="14"/>
      <c r="T206" s="14"/>
      <c r="U206" s="14"/>
      <c r="V206" s="14"/>
      <c r="W206" s="14"/>
      <c r="X206" s="14"/>
      <c r="Y206" s="14"/>
      <c r="Z206" s="14"/>
    </row>
    <row r="207" ht="12.75" customHeight="1">
      <c r="A207" s="26" t="s">
        <v>236</v>
      </c>
      <c r="B207" s="26" t="s">
        <v>169</v>
      </c>
      <c r="C207" s="26" t="s">
        <v>36</v>
      </c>
      <c r="D207" s="27">
        <v>169.0</v>
      </c>
      <c r="E207" s="28">
        <v>1.1062E7</v>
      </c>
      <c r="F207" s="27">
        <v>0.0</v>
      </c>
      <c r="G207" s="28">
        <v>0.0</v>
      </c>
      <c r="H207" s="27">
        <v>169.0</v>
      </c>
      <c r="I207" s="28">
        <v>1.1062E7</v>
      </c>
      <c r="J207" s="29">
        <f t="shared" si="2"/>
        <v>65455.6213</v>
      </c>
      <c r="K207" s="30">
        <f t="shared" ref="K207:L207" si="205">H207/12</f>
        <v>14.08333333</v>
      </c>
      <c r="L207" s="31">
        <f t="shared" si="205"/>
        <v>921833.3333</v>
      </c>
      <c r="M207" s="37">
        <v>1799.0</v>
      </c>
      <c r="N207" s="33">
        <f t="shared" si="4"/>
        <v>42.25</v>
      </c>
      <c r="O207" s="34">
        <f t="shared" si="5"/>
        <v>-1756.75</v>
      </c>
      <c r="P207" s="35" t="str">
        <f t="shared" si="6"/>
        <v/>
      </c>
      <c r="Q207" s="36"/>
      <c r="R207" s="14"/>
      <c r="S207" s="14"/>
      <c r="T207" s="14"/>
      <c r="U207" s="14"/>
      <c r="V207" s="14"/>
      <c r="W207" s="14"/>
      <c r="X207" s="14"/>
      <c r="Y207" s="14"/>
      <c r="Z207" s="14"/>
    </row>
    <row r="208" ht="12.75" customHeight="1">
      <c r="A208" s="26" t="s">
        <v>237</v>
      </c>
      <c r="B208" s="26" t="s">
        <v>31</v>
      </c>
      <c r="C208" s="26" t="s">
        <v>20</v>
      </c>
      <c r="D208" s="27">
        <v>13.0</v>
      </c>
      <c r="E208" s="28">
        <v>1.08276E7</v>
      </c>
      <c r="F208" s="27">
        <v>0.0</v>
      </c>
      <c r="G208" s="28">
        <v>0.0</v>
      </c>
      <c r="H208" s="27">
        <v>13.0</v>
      </c>
      <c r="I208" s="28">
        <v>1.08276E7</v>
      </c>
      <c r="J208" s="29">
        <f t="shared" si="2"/>
        <v>832892.3077</v>
      </c>
      <c r="K208" s="30">
        <f t="shared" ref="K208:L208" si="206">H208/12</f>
        <v>1.083333333</v>
      </c>
      <c r="L208" s="31">
        <f t="shared" si="206"/>
        <v>902300</v>
      </c>
      <c r="M208" s="32">
        <v>0.0</v>
      </c>
      <c r="N208" s="33">
        <f t="shared" si="4"/>
        <v>3.25</v>
      </c>
      <c r="O208" s="34">
        <f t="shared" si="5"/>
        <v>3.25</v>
      </c>
      <c r="P208" s="35">
        <f t="shared" si="6"/>
        <v>3.25</v>
      </c>
      <c r="Q208" s="36"/>
      <c r="R208" s="14"/>
      <c r="S208" s="14"/>
      <c r="T208" s="14"/>
      <c r="U208" s="14"/>
      <c r="V208" s="14"/>
      <c r="W208" s="14"/>
      <c r="X208" s="14"/>
      <c r="Y208" s="14"/>
      <c r="Z208" s="14"/>
    </row>
    <row r="209" ht="12.75" customHeight="1">
      <c r="A209" s="26" t="s">
        <v>238</v>
      </c>
      <c r="B209" s="26" t="s">
        <v>19</v>
      </c>
      <c r="C209" s="26" t="s">
        <v>20</v>
      </c>
      <c r="D209" s="27">
        <v>16.0</v>
      </c>
      <c r="E209" s="28">
        <v>1.08256E7</v>
      </c>
      <c r="F209" s="27">
        <v>0.0</v>
      </c>
      <c r="G209" s="28">
        <v>0.0</v>
      </c>
      <c r="H209" s="27">
        <v>16.0</v>
      </c>
      <c r="I209" s="28">
        <v>1.08256E7</v>
      </c>
      <c r="J209" s="29">
        <f t="shared" si="2"/>
        <v>676600</v>
      </c>
      <c r="K209" s="30">
        <f t="shared" ref="K209:L209" si="207">H209/12</f>
        <v>1.333333333</v>
      </c>
      <c r="L209" s="31">
        <f t="shared" si="207"/>
        <v>902133.3333</v>
      </c>
      <c r="M209" s="32">
        <v>0.0</v>
      </c>
      <c r="N209" s="33">
        <f t="shared" si="4"/>
        <v>4</v>
      </c>
      <c r="O209" s="34">
        <f t="shared" si="5"/>
        <v>4</v>
      </c>
      <c r="P209" s="35">
        <f t="shared" si="6"/>
        <v>4</v>
      </c>
      <c r="Q209" s="36"/>
      <c r="R209" s="14"/>
      <c r="S209" s="14"/>
      <c r="T209" s="14"/>
      <c r="U209" s="14"/>
      <c r="V209" s="14"/>
      <c r="W209" s="14"/>
      <c r="X209" s="14"/>
      <c r="Y209" s="14"/>
      <c r="Z209" s="14"/>
    </row>
    <row r="210" ht="12.75" customHeight="1">
      <c r="A210" s="26" t="s">
        <v>239</v>
      </c>
      <c r="B210" s="26" t="s">
        <v>169</v>
      </c>
      <c r="C210" s="26" t="s">
        <v>36</v>
      </c>
      <c r="D210" s="27">
        <v>97.0</v>
      </c>
      <c r="E210" s="28">
        <v>1.07079E7</v>
      </c>
      <c r="F210" s="27">
        <v>0.0</v>
      </c>
      <c r="G210" s="28">
        <v>0.0</v>
      </c>
      <c r="H210" s="27">
        <v>97.0</v>
      </c>
      <c r="I210" s="28">
        <v>1.07079E7</v>
      </c>
      <c r="J210" s="29">
        <f t="shared" si="2"/>
        <v>110390.7216</v>
      </c>
      <c r="K210" s="30">
        <f t="shared" ref="K210:L210" si="208">H210/12</f>
        <v>8.083333333</v>
      </c>
      <c r="L210" s="31">
        <f t="shared" si="208"/>
        <v>892325</v>
      </c>
      <c r="M210" s="37">
        <v>174.0</v>
      </c>
      <c r="N210" s="33">
        <f t="shared" si="4"/>
        <v>24.25</v>
      </c>
      <c r="O210" s="34">
        <f t="shared" si="5"/>
        <v>-149.75</v>
      </c>
      <c r="P210" s="35" t="str">
        <f t="shared" si="6"/>
        <v/>
      </c>
      <c r="Q210" s="36"/>
      <c r="R210" s="14"/>
      <c r="S210" s="14"/>
      <c r="T210" s="14"/>
      <c r="U210" s="14"/>
      <c r="V210" s="14"/>
      <c r="W210" s="14"/>
      <c r="X210" s="14"/>
      <c r="Y210" s="14"/>
      <c r="Z210" s="14"/>
    </row>
    <row r="211" ht="12.75" customHeight="1">
      <c r="A211" s="26" t="s">
        <v>240</v>
      </c>
      <c r="B211" s="26" t="s">
        <v>48</v>
      </c>
      <c r="C211" s="26" t="s">
        <v>20</v>
      </c>
      <c r="D211" s="27">
        <v>6.0</v>
      </c>
      <c r="E211" s="28">
        <v>1.034E7</v>
      </c>
      <c r="F211" s="27">
        <v>0.0</v>
      </c>
      <c r="G211" s="28">
        <v>0.0</v>
      </c>
      <c r="H211" s="27">
        <v>6.0</v>
      </c>
      <c r="I211" s="28">
        <v>1.034E7</v>
      </c>
      <c r="J211" s="29">
        <f t="shared" si="2"/>
        <v>1723333.333</v>
      </c>
      <c r="K211" s="30">
        <f t="shared" ref="K211:L211" si="209">H211/12</f>
        <v>0.5</v>
      </c>
      <c r="L211" s="31">
        <f t="shared" si="209"/>
        <v>861666.6667</v>
      </c>
      <c r="M211" s="32">
        <v>0.0</v>
      </c>
      <c r="N211" s="33">
        <f t="shared" si="4"/>
        <v>1.5</v>
      </c>
      <c r="O211" s="34">
        <f t="shared" si="5"/>
        <v>1.5</v>
      </c>
      <c r="P211" s="35">
        <f t="shared" si="6"/>
        <v>1.5</v>
      </c>
      <c r="Q211" s="36"/>
      <c r="R211" s="14"/>
      <c r="S211" s="14"/>
      <c r="T211" s="14"/>
      <c r="U211" s="14"/>
      <c r="V211" s="14"/>
      <c r="W211" s="14"/>
      <c r="X211" s="14"/>
      <c r="Y211" s="14"/>
      <c r="Z211" s="14"/>
    </row>
    <row r="212" ht="12.75" customHeight="1">
      <c r="A212" s="26" t="s">
        <v>241</v>
      </c>
      <c r="B212" s="26" t="s">
        <v>169</v>
      </c>
      <c r="C212" s="26" t="s">
        <v>36</v>
      </c>
      <c r="D212" s="27">
        <v>196.0</v>
      </c>
      <c r="E212" s="28">
        <v>9922800.0</v>
      </c>
      <c r="F212" s="27">
        <v>0.0</v>
      </c>
      <c r="G212" s="28">
        <v>0.0</v>
      </c>
      <c r="H212" s="27">
        <v>196.0</v>
      </c>
      <c r="I212" s="28">
        <v>9922800.0</v>
      </c>
      <c r="J212" s="29">
        <f t="shared" si="2"/>
        <v>50626.53061</v>
      </c>
      <c r="K212" s="30">
        <f t="shared" ref="K212:L212" si="210">H212/12</f>
        <v>16.33333333</v>
      </c>
      <c r="L212" s="31">
        <f t="shared" si="210"/>
        <v>826900</v>
      </c>
      <c r="M212" s="37">
        <v>379.0</v>
      </c>
      <c r="N212" s="33">
        <f t="shared" si="4"/>
        <v>49</v>
      </c>
      <c r="O212" s="34">
        <f t="shared" si="5"/>
        <v>-330</v>
      </c>
      <c r="P212" s="35" t="str">
        <f t="shared" si="6"/>
        <v/>
      </c>
      <c r="Q212" s="36"/>
      <c r="R212" s="14"/>
      <c r="S212" s="14"/>
      <c r="T212" s="14"/>
      <c r="U212" s="14"/>
      <c r="V212" s="14"/>
      <c r="W212" s="14"/>
      <c r="X212" s="14"/>
      <c r="Y212" s="14"/>
      <c r="Z212" s="14"/>
    </row>
    <row r="213" ht="12.75" customHeight="1">
      <c r="A213" s="26" t="s">
        <v>242</v>
      </c>
      <c r="B213" s="26" t="s">
        <v>48</v>
      </c>
      <c r="C213" s="26" t="s">
        <v>20</v>
      </c>
      <c r="D213" s="27">
        <v>7.0</v>
      </c>
      <c r="E213" s="28">
        <v>9772000.0</v>
      </c>
      <c r="F213" s="27">
        <v>0.0</v>
      </c>
      <c r="G213" s="28">
        <v>0.0</v>
      </c>
      <c r="H213" s="27">
        <v>7.0</v>
      </c>
      <c r="I213" s="28">
        <v>9772000.0</v>
      </c>
      <c r="J213" s="29">
        <f t="shared" si="2"/>
        <v>1396000</v>
      </c>
      <c r="K213" s="30">
        <f t="shared" ref="K213:L213" si="211">H213/12</f>
        <v>0.5833333333</v>
      </c>
      <c r="L213" s="31">
        <f t="shared" si="211"/>
        <v>814333.3333</v>
      </c>
      <c r="M213" s="32">
        <v>0.0</v>
      </c>
      <c r="N213" s="33">
        <f t="shared" si="4"/>
        <v>1.75</v>
      </c>
      <c r="O213" s="34">
        <f t="shared" si="5"/>
        <v>1.75</v>
      </c>
      <c r="P213" s="35">
        <f t="shared" si="6"/>
        <v>1.75</v>
      </c>
      <c r="Q213" s="36"/>
      <c r="R213" s="14"/>
      <c r="S213" s="14"/>
      <c r="T213" s="14"/>
      <c r="U213" s="14"/>
      <c r="V213" s="14"/>
      <c r="W213" s="14"/>
      <c r="X213" s="14"/>
      <c r="Y213" s="14"/>
      <c r="Z213" s="14"/>
    </row>
    <row r="214" ht="12.75" customHeight="1">
      <c r="A214" s="26" t="s">
        <v>243</v>
      </c>
      <c r="B214" s="26" t="s">
        <v>48</v>
      </c>
      <c r="C214" s="26" t="s">
        <v>20</v>
      </c>
      <c r="D214" s="27">
        <v>8.0</v>
      </c>
      <c r="E214" s="28">
        <v>9650000.0</v>
      </c>
      <c r="F214" s="27">
        <v>0.0</v>
      </c>
      <c r="G214" s="28">
        <v>0.0</v>
      </c>
      <c r="H214" s="27">
        <v>8.0</v>
      </c>
      <c r="I214" s="28">
        <v>9650000.0</v>
      </c>
      <c r="J214" s="29">
        <f t="shared" si="2"/>
        <v>1206250</v>
      </c>
      <c r="K214" s="30">
        <f t="shared" ref="K214:L214" si="212">H214/12</f>
        <v>0.6666666667</v>
      </c>
      <c r="L214" s="31">
        <f t="shared" si="212"/>
        <v>804166.6667</v>
      </c>
      <c r="M214" s="37">
        <v>0.0</v>
      </c>
      <c r="N214" s="33">
        <f t="shared" si="4"/>
        <v>2</v>
      </c>
      <c r="O214" s="34">
        <f t="shared" si="5"/>
        <v>2</v>
      </c>
      <c r="P214" s="35">
        <f t="shared" si="6"/>
        <v>2</v>
      </c>
      <c r="Q214" s="36"/>
      <c r="R214" s="14"/>
      <c r="S214" s="14"/>
      <c r="T214" s="14"/>
      <c r="U214" s="14"/>
      <c r="V214" s="14"/>
      <c r="W214" s="14"/>
      <c r="X214" s="14"/>
      <c r="Y214" s="14"/>
      <c r="Z214" s="14"/>
    </row>
    <row r="215" ht="12.75" customHeight="1">
      <c r="A215" s="26" t="s">
        <v>244</v>
      </c>
      <c r="B215" s="26" t="s">
        <v>22</v>
      </c>
      <c r="C215" s="26" t="s">
        <v>20</v>
      </c>
      <c r="D215" s="27">
        <v>5.0</v>
      </c>
      <c r="E215" s="28">
        <v>9267500.0</v>
      </c>
      <c r="F215" s="27">
        <v>0.0</v>
      </c>
      <c r="G215" s="28">
        <v>0.0</v>
      </c>
      <c r="H215" s="27">
        <v>5.0</v>
      </c>
      <c r="I215" s="28">
        <v>9267500.0</v>
      </c>
      <c r="J215" s="29">
        <f t="shared" si="2"/>
        <v>1853500</v>
      </c>
      <c r="K215" s="30">
        <f t="shared" ref="K215:L215" si="213">H215/12</f>
        <v>0.4166666667</v>
      </c>
      <c r="L215" s="31">
        <f t="shared" si="213"/>
        <v>772291.6667</v>
      </c>
      <c r="M215" s="37">
        <v>0.0</v>
      </c>
      <c r="N215" s="33">
        <f t="shared" si="4"/>
        <v>1.25</v>
      </c>
      <c r="O215" s="34">
        <f t="shared" si="5"/>
        <v>1.25</v>
      </c>
      <c r="P215" s="35">
        <f t="shared" si="6"/>
        <v>1.25</v>
      </c>
      <c r="Q215" s="36"/>
      <c r="R215" s="14"/>
      <c r="S215" s="14"/>
      <c r="T215" s="14"/>
      <c r="U215" s="14"/>
      <c r="V215" s="14"/>
      <c r="W215" s="14"/>
      <c r="X215" s="14"/>
      <c r="Y215" s="14"/>
      <c r="Z215" s="14"/>
    </row>
    <row r="216" ht="12.75" customHeight="1">
      <c r="A216" s="26" t="s">
        <v>245</v>
      </c>
      <c r="B216" s="26" t="s">
        <v>31</v>
      </c>
      <c r="C216" s="26" t="s">
        <v>20</v>
      </c>
      <c r="D216" s="27">
        <v>7.0</v>
      </c>
      <c r="E216" s="28">
        <v>8712500.0</v>
      </c>
      <c r="F216" s="27">
        <v>0.0</v>
      </c>
      <c r="G216" s="28">
        <v>0.0</v>
      </c>
      <c r="H216" s="27">
        <v>7.0</v>
      </c>
      <c r="I216" s="28">
        <v>8712500.0</v>
      </c>
      <c r="J216" s="29">
        <f t="shared" si="2"/>
        <v>1244642.857</v>
      </c>
      <c r="K216" s="30">
        <f t="shared" ref="K216:L216" si="214">H216/12</f>
        <v>0.5833333333</v>
      </c>
      <c r="L216" s="31">
        <f t="shared" si="214"/>
        <v>726041.6667</v>
      </c>
      <c r="M216" s="37">
        <v>0.0</v>
      </c>
      <c r="N216" s="33">
        <f t="shared" si="4"/>
        <v>1.75</v>
      </c>
      <c r="O216" s="34">
        <f t="shared" si="5"/>
        <v>1.75</v>
      </c>
      <c r="P216" s="35">
        <f t="shared" si="6"/>
        <v>1.75</v>
      </c>
      <c r="Q216" s="36"/>
      <c r="R216" s="14"/>
      <c r="S216" s="14"/>
      <c r="T216" s="14"/>
      <c r="U216" s="14"/>
      <c r="V216" s="14"/>
      <c r="W216" s="14"/>
      <c r="X216" s="14"/>
      <c r="Y216" s="14"/>
      <c r="Z216" s="14"/>
    </row>
    <row r="217" ht="12.75" customHeight="1">
      <c r="A217" s="26" t="s">
        <v>246</v>
      </c>
      <c r="B217" s="26" t="s">
        <v>220</v>
      </c>
      <c r="C217" s="26" t="s">
        <v>20</v>
      </c>
      <c r="D217" s="27">
        <v>1.0</v>
      </c>
      <c r="E217" s="28">
        <v>8700000.0</v>
      </c>
      <c r="F217" s="27">
        <v>0.0</v>
      </c>
      <c r="G217" s="28">
        <v>0.0</v>
      </c>
      <c r="H217" s="27">
        <v>1.0</v>
      </c>
      <c r="I217" s="28">
        <v>8700000.0</v>
      </c>
      <c r="J217" s="29">
        <f t="shared" si="2"/>
        <v>8700000</v>
      </c>
      <c r="K217" s="30">
        <f t="shared" ref="K217:L217" si="215">H217/12</f>
        <v>0.08333333333</v>
      </c>
      <c r="L217" s="31">
        <f t="shared" si="215"/>
        <v>725000</v>
      </c>
      <c r="M217" s="32">
        <v>0.0</v>
      </c>
      <c r="N217" s="33">
        <f t="shared" si="4"/>
        <v>0.25</v>
      </c>
      <c r="O217" s="34">
        <f t="shared" si="5"/>
        <v>0.25</v>
      </c>
      <c r="P217" s="35">
        <f t="shared" si="6"/>
        <v>0.25</v>
      </c>
      <c r="Q217" s="36"/>
      <c r="R217" s="14"/>
      <c r="S217" s="14"/>
      <c r="T217" s="14"/>
      <c r="U217" s="14"/>
      <c r="V217" s="14"/>
      <c r="W217" s="14"/>
      <c r="X217" s="14"/>
      <c r="Y217" s="14"/>
      <c r="Z217" s="14"/>
    </row>
    <row r="218" ht="12.75" customHeight="1">
      <c r="A218" s="26" t="s">
        <v>247</v>
      </c>
      <c r="B218" s="26" t="s">
        <v>81</v>
      </c>
      <c r="C218" s="26" t="s">
        <v>36</v>
      </c>
      <c r="D218" s="27">
        <v>23.0</v>
      </c>
      <c r="E218" s="28">
        <v>8540100.0</v>
      </c>
      <c r="F218" s="27">
        <v>0.0</v>
      </c>
      <c r="G218" s="28">
        <v>0.0</v>
      </c>
      <c r="H218" s="27">
        <v>23.0</v>
      </c>
      <c r="I218" s="28">
        <v>8540100.0</v>
      </c>
      <c r="J218" s="29">
        <f t="shared" si="2"/>
        <v>371308.6957</v>
      </c>
      <c r="K218" s="30">
        <f t="shared" ref="K218:L218" si="216">H218/12</f>
        <v>1.916666667</v>
      </c>
      <c r="L218" s="31">
        <f t="shared" si="216"/>
        <v>711675</v>
      </c>
      <c r="M218" s="37">
        <v>469.0</v>
      </c>
      <c r="N218" s="33">
        <f t="shared" si="4"/>
        <v>5.75</v>
      </c>
      <c r="O218" s="34">
        <f t="shared" si="5"/>
        <v>-463.25</v>
      </c>
      <c r="P218" s="35" t="str">
        <f t="shared" si="6"/>
        <v/>
      </c>
      <c r="Q218" s="36"/>
      <c r="R218" s="14"/>
      <c r="S218" s="14"/>
      <c r="T218" s="14"/>
      <c r="U218" s="14"/>
      <c r="V218" s="14"/>
      <c r="W218" s="14"/>
      <c r="X218" s="14"/>
      <c r="Y218" s="14"/>
      <c r="Z218" s="14"/>
    </row>
    <row r="219" ht="12.75" customHeight="1">
      <c r="A219" s="26" t="s">
        <v>248</v>
      </c>
      <c r="B219" s="26" t="s">
        <v>169</v>
      </c>
      <c r="C219" s="26" t="s">
        <v>36</v>
      </c>
      <c r="D219" s="27">
        <v>134.0</v>
      </c>
      <c r="E219" s="28">
        <v>8290750.0</v>
      </c>
      <c r="F219" s="27">
        <v>0.0</v>
      </c>
      <c r="G219" s="28">
        <v>0.0</v>
      </c>
      <c r="H219" s="27">
        <v>134.0</v>
      </c>
      <c r="I219" s="28">
        <v>8290750.0</v>
      </c>
      <c r="J219" s="29">
        <f t="shared" si="2"/>
        <v>61871.26866</v>
      </c>
      <c r="K219" s="30">
        <f t="shared" ref="K219:L219" si="217">H219/12</f>
        <v>11.16666667</v>
      </c>
      <c r="L219" s="31">
        <f t="shared" si="217"/>
        <v>690895.8333</v>
      </c>
      <c r="M219" s="32">
        <v>0.0</v>
      </c>
      <c r="N219" s="33">
        <f t="shared" si="4"/>
        <v>33.5</v>
      </c>
      <c r="O219" s="34">
        <f t="shared" si="5"/>
        <v>33.5</v>
      </c>
      <c r="P219" s="35">
        <f t="shared" si="6"/>
        <v>33.5</v>
      </c>
      <c r="Q219" s="36"/>
      <c r="R219" s="14"/>
      <c r="S219" s="14"/>
      <c r="T219" s="14"/>
      <c r="U219" s="14"/>
      <c r="V219" s="14"/>
      <c r="W219" s="14"/>
      <c r="X219" s="14"/>
      <c r="Y219" s="14"/>
      <c r="Z219" s="14"/>
    </row>
    <row r="220" ht="12.75" customHeight="1">
      <c r="A220" s="26" t="s">
        <v>249</v>
      </c>
      <c r="B220" s="26" t="s">
        <v>169</v>
      </c>
      <c r="C220" s="26" t="s">
        <v>36</v>
      </c>
      <c r="D220" s="27">
        <v>325.0</v>
      </c>
      <c r="E220" s="28">
        <v>8189100.0</v>
      </c>
      <c r="F220" s="27">
        <v>0.0</v>
      </c>
      <c r="G220" s="28">
        <v>0.0</v>
      </c>
      <c r="H220" s="27">
        <v>325.0</v>
      </c>
      <c r="I220" s="28">
        <v>8189100.0</v>
      </c>
      <c r="J220" s="29">
        <f t="shared" si="2"/>
        <v>25197.23077</v>
      </c>
      <c r="K220" s="30">
        <f t="shared" ref="K220:L220" si="218">H220/12</f>
        <v>27.08333333</v>
      </c>
      <c r="L220" s="31">
        <f t="shared" si="218"/>
        <v>682425</v>
      </c>
      <c r="M220" s="37">
        <v>718.0</v>
      </c>
      <c r="N220" s="33">
        <f t="shared" si="4"/>
        <v>81.25</v>
      </c>
      <c r="O220" s="34">
        <f t="shared" si="5"/>
        <v>-636.75</v>
      </c>
      <c r="P220" s="35" t="str">
        <f t="shared" si="6"/>
        <v/>
      </c>
      <c r="Q220" s="36"/>
      <c r="R220" s="14"/>
      <c r="S220" s="14"/>
      <c r="T220" s="14"/>
      <c r="U220" s="14"/>
      <c r="V220" s="14"/>
      <c r="W220" s="14"/>
      <c r="X220" s="14"/>
      <c r="Y220" s="14"/>
      <c r="Z220" s="14"/>
    </row>
    <row r="221" ht="12.75" customHeight="1">
      <c r="A221" s="26" t="s">
        <v>250</v>
      </c>
      <c r="B221" s="26" t="s">
        <v>169</v>
      </c>
      <c r="C221" s="26" t="s">
        <v>36</v>
      </c>
      <c r="D221" s="27">
        <v>446.0</v>
      </c>
      <c r="E221" s="28">
        <v>8182000.0</v>
      </c>
      <c r="F221" s="27">
        <v>0.0</v>
      </c>
      <c r="G221" s="28">
        <v>0.0</v>
      </c>
      <c r="H221" s="27">
        <v>446.0</v>
      </c>
      <c r="I221" s="28">
        <v>8182000.0</v>
      </c>
      <c r="J221" s="29">
        <f t="shared" si="2"/>
        <v>18345.29148</v>
      </c>
      <c r="K221" s="30">
        <f t="shared" ref="K221:L221" si="219">H221/12</f>
        <v>37.16666667</v>
      </c>
      <c r="L221" s="31">
        <f t="shared" si="219"/>
        <v>681833.3333</v>
      </c>
      <c r="M221" s="37">
        <v>2280.0</v>
      </c>
      <c r="N221" s="33">
        <f t="shared" si="4"/>
        <v>111.5</v>
      </c>
      <c r="O221" s="34">
        <f t="shared" si="5"/>
        <v>-2168.5</v>
      </c>
      <c r="P221" s="35" t="str">
        <f t="shared" si="6"/>
        <v/>
      </c>
      <c r="Q221" s="36"/>
      <c r="R221" s="14"/>
      <c r="S221" s="14"/>
      <c r="T221" s="14"/>
      <c r="U221" s="14"/>
      <c r="V221" s="14"/>
      <c r="W221" s="14"/>
      <c r="X221" s="14"/>
      <c r="Y221" s="14"/>
      <c r="Z221" s="14"/>
    </row>
    <row r="222" ht="12.75" customHeight="1">
      <c r="A222" s="26" t="s">
        <v>251</v>
      </c>
      <c r="B222" s="26" t="s">
        <v>25</v>
      </c>
      <c r="C222" s="26" t="s">
        <v>20</v>
      </c>
      <c r="D222" s="27">
        <v>11.0</v>
      </c>
      <c r="E222" s="28">
        <v>7843900.0</v>
      </c>
      <c r="F222" s="27">
        <v>0.0</v>
      </c>
      <c r="G222" s="28">
        <v>0.0</v>
      </c>
      <c r="H222" s="27">
        <v>11.0</v>
      </c>
      <c r="I222" s="28">
        <v>7843900.0</v>
      </c>
      <c r="J222" s="29">
        <f t="shared" si="2"/>
        <v>713081.8182</v>
      </c>
      <c r="K222" s="30">
        <f t="shared" ref="K222:L222" si="220">H222/12</f>
        <v>0.9166666667</v>
      </c>
      <c r="L222" s="31">
        <f t="shared" si="220"/>
        <v>653658.3333</v>
      </c>
      <c r="M222" s="32">
        <v>0.0</v>
      </c>
      <c r="N222" s="33">
        <f t="shared" si="4"/>
        <v>2.75</v>
      </c>
      <c r="O222" s="34">
        <f t="shared" si="5"/>
        <v>2.75</v>
      </c>
      <c r="P222" s="35">
        <f t="shared" si="6"/>
        <v>2.75</v>
      </c>
      <c r="Q222" s="36"/>
      <c r="R222" s="14"/>
      <c r="S222" s="14"/>
      <c r="T222" s="14"/>
      <c r="U222" s="14"/>
      <c r="V222" s="14"/>
      <c r="W222" s="14"/>
      <c r="X222" s="14"/>
      <c r="Y222" s="14"/>
      <c r="Z222" s="14"/>
    </row>
    <row r="223" ht="12.75" customHeight="1">
      <c r="A223" s="26" t="s">
        <v>252</v>
      </c>
      <c r="B223" s="26" t="s">
        <v>48</v>
      </c>
      <c r="C223" s="26" t="s">
        <v>20</v>
      </c>
      <c r="D223" s="27">
        <v>6.0</v>
      </c>
      <c r="E223" s="28">
        <v>7493000.0</v>
      </c>
      <c r="F223" s="27">
        <v>0.0</v>
      </c>
      <c r="G223" s="28">
        <v>0.0</v>
      </c>
      <c r="H223" s="27">
        <v>6.0</v>
      </c>
      <c r="I223" s="28">
        <v>7493000.0</v>
      </c>
      <c r="J223" s="29">
        <f t="shared" si="2"/>
        <v>1248833.333</v>
      </c>
      <c r="K223" s="30">
        <f t="shared" ref="K223:L223" si="221">H223/12</f>
        <v>0.5</v>
      </c>
      <c r="L223" s="31">
        <f t="shared" si="221"/>
        <v>624416.6667</v>
      </c>
      <c r="M223" s="37">
        <v>0.0</v>
      </c>
      <c r="N223" s="33">
        <f t="shared" si="4"/>
        <v>1.5</v>
      </c>
      <c r="O223" s="34">
        <f t="shared" si="5"/>
        <v>1.5</v>
      </c>
      <c r="P223" s="35">
        <f t="shared" si="6"/>
        <v>1.5</v>
      </c>
      <c r="Q223" s="36"/>
      <c r="R223" s="14"/>
      <c r="S223" s="14"/>
      <c r="T223" s="14"/>
      <c r="U223" s="14"/>
      <c r="V223" s="14"/>
      <c r="W223" s="14"/>
      <c r="X223" s="14"/>
      <c r="Y223" s="14"/>
      <c r="Z223" s="14"/>
    </row>
    <row r="224" ht="12.75" customHeight="1">
      <c r="A224" s="26" t="s">
        <v>253</v>
      </c>
      <c r="B224" s="26" t="s">
        <v>169</v>
      </c>
      <c r="C224" s="26" t="s">
        <v>36</v>
      </c>
      <c r="D224" s="27">
        <v>170.0</v>
      </c>
      <c r="E224" s="28">
        <v>7451120.0</v>
      </c>
      <c r="F224" s="27">
        <v>0.0</v>
      </c>
      <c r="G224" s="28">
        <v>0.0</v>
      </c>
      <c r="H224" s="27">
        <v>170.0</v>
      </c>
      <c r="I224" s="28">
        <v>7451120.0</v>
      </c>
      <c r="J224" s="29">
        <f t="shared" si="2"/>
        <v>43830.11765</v>
      </c>
      <c r="K224" s="30">
        <f t="shared" ref="K224:L224" si="222">H224/12</f>
        <v>14.16666667</v>
      </c>
      <c r="L224" s="31">
        <f t="shared" si="222"/>
        <v>620926.6667</v>
      </c>
      <c r="M224" s="37">
        <v>19.0</v>
      </c>
      <c r="N224" s="33">
        <f t="shared" si="4"/>
        <v>42.5</v>
      </c>
      <c r="O224" s="34">
        <f t="shared" si="5"/>
        <v>23.5</v>
      </c>
      <c r="P224" s="35">
        <f t="shared" si="6"/>
        <v>23.5</v>
      </c>
      <c r="Q224" s="36"/>
      <c r="R224" s="14"/>
      <c r="S224" s="14"/>
      <c r="T224" s="14"/>
      <c r="U224" s="14"/>
      <c r="V224" s="14"/>
      <c r="W224" s="14"/>
      <c r="X224" s="14"/>
      <c r="Y224" s="14"/>
      <c r="Z224" s="14"/>
    </row>
    <row r="225" ht="12.75" customHeight="1">
      <c r="A225" s="26" t="s">
        <v>254</v>
      </c>
      <c r="B225" s="26" t="s">
        <v>48</v>
      </c>
      <c r="C225" s="26" t="s">
        <v>20</v>
      </c>
      <c r="D225" s="27">
        <v>4.0</v>
      </c>
      <c r="E225" s="28">
        <v>7432700.0</v>
      </c>
      <c r="F225" s="27">
        <v>0.0</v>
      </c>
      <c r="G225" s="28">
        <v>0.0</v>
      </c>
      <c r="H225" s="27">
        <v>4.0</v>
      </c>
      <c r="I225" s="28">
        <v>7432700.0</v>
      </c>
      <c r="J225" s="29">
        <f t="shared" si="2"/>
        <v>1858175</v>
      </c>
      <c r="K225" s="30">
        <f t="shared" ref="K225:L225" si="223">H225/12</f>
        <v>0.3333333333</v>
      </c>
      <c r="L225" s="31">
        <f t="shared" si="223"/>
        <v>619391.6667</v>
      </c>
      <c r="M225" s="37">
        <v>12.0</v>
      </c>
      <c r="N225" s="33">
        <f t="shared" si="4"/>
        <v>1</v>
      </c>
      <c r="O225" s="34">
        <f t="shared" si="5"/>
        <v>-11</v>
      </c>
      <c r="P225" s="35" t="str">
        <f t="shared" si="6"/>
        <v/>
      </c>
      <c r="Q225" s="36"/>
      <c r="R225" s="14"/>
      <c r="S225" s="14"/>
      <c r="T225" s="14"/>
      <c r="U225" s="14"/>
      <c r="V225" s="14"/>
      <c r="W225" s="14"/>
      <c r="X225" s="14"/>
      <c r="Y225" s="14"/>
      <c r="Z225" s="14"/>
    </row>
    <row r="226" ht="12.75" customHeight="1">
      <c r="A226" s="26" t="s">
        <v>255</v>
      </c>
      <c r="B226" s="26" t="s">
        <v>19</v>
      </c>
      <c r="C226" s="26" t="s">
        <v>20</v>
      </c>
      <c r="D226" s="27">
        <v>8.0</v>
      </c>
      <c r="E226" s="28">
        <v>7048800.0</v>
      </c>
      <c r="F226" s="27">
        <v>0.0</v>
      </c>
      <c r="G226" s="28">
        <v>0.0</v>
      </c>
      <c r="H226" s="27">
        <v>8.0</v>
      </c>
      <c r="I226" s="28">
        <v>7048800.0</v>
      </c>
      <c r="J226" s="29">
        <f t="shared" si="2"/>
        <v>881100</v>
      </c>
      <c r="K226" s="30">
        <f t="shared" ref="K226:L226" si="224">H226/12</f>
        <v>0.6666666667</v>
      </c>
      <c r="L226" s="31">
        <f t="shared" si="224"/>
        <v>587400</v>
      </c>
      <c r="M226" s="32">
        <v>0.0</v>
      </c>
      <c r="N226" s="33">
        <f t="shared" si="4"/>
        <v>2</v>
      </c>
      <c r="O226" s="34">
        <f t="shared" si="5"/>
        <v>2</v>
      </c>
      <c r="P226" s="35">
        <f t="shared" si="6"/>
        <v>2</v>
      </c>
      <c r="Q226" s="36"/>
      <c r="R226" s="14"/>
      <c r="S226" s="14"/>
      <c r="T226" s="14"/>
      <c r="U226" s="14"/>
      <c r="V226" s="14"/>
      <c r="W226" s="14"/>
      <c r="X226" s="14"/>
      <c r="Y226" s="14"/>
      <c r="Z226" s="14"/>
    </row>
    <row r="227" ht="12.75" customHeight="1">
      <c r="A227" s="26" t="s">
        <v>256</v>
      </c>
      <c r="B227" s="26" t="s">
        <v>25</v>
      </c>
      <c r="C227" s="26" t="s">
        <v>20</v>
      </c>
      <c r="D227" s="27">
        <v>10.0</v>
      </c>
      <c r="E227" s="28">
        <v>6772800.0</v>
      </c>
      <c r="F227" s="27">
        <v>0.0</v>
      </c>
      <c r="G227" s="28">
        <v>0.0</v>
      </c>
      <c r="H227" s="27">
        <v>10.0</v>
      </c>
      <c r="I227" s="28">
        <v>6772800.0</v>
      </c>
      <c r="J227" s="29">
        <f t="shared" si="2"/>
        <v>677280</v>
      </c>
      <c r="K227" s="30">
        <f t="shared" ref="K227:L227" si="225">H227/12</f>
        <v>0.8333333333</v>
      </c>
      <c r="L227" s="31">
        <f t="shared" si="225"/>
        <v>564400</v>
      </c>
      <c r="M227" s="37">
        <v>0.0</v>
      </c>
      <c r="N227" s="33">
        <f t="shared" si="4"/>
        <v>2.5</v>
      </c>
      <c r="O227" s="34">
        <f t="shared" si="5"/>
        <v>2.5</v>
      </c>
      <c r="P227" s="35">
        <f t="shared" si="6"/>
        <v>2.5</v>
      </c>
      <c r="Q227" s="36"/>
      <c r="R227" s="14"/>
      <c r="S227" s="14"/>
      <c r="T227" s="14"/>
      <c r="U227" s="14"/>
      <c r="V227" s="14"/>
      <c r="W227" s="14"/>
      <c r="X227" s="14"/>
      <c r="Y227" s="14"/>
      <c r="Z227" s="14"/>
    </row>
    <row r="228" ht="12.75" customHeight="1">
      <c r="A228" s="26" t="s">
        <v>257</v>
      </c>
      <c r="B228" s="26" t="s">
        <v>48</v>
      </c>
      <c r="C228" s="26" t="s">
        <v>20</v>
      </c>
      <c r="D228" s="27">
        <v>4.0</v>
      </c>
      <c r="E228" s="28">
        <v>6443000.0</v>
      </c>
      <c r="F228" s="27">
        <v>0.0</v>
      </c>
      <c r="G228" s="28">
        <v>0.0</v>
      </c>
      <c r="H228" s="27">
        <v>4.0</v>
      </c>
      <c r="I228" s="28">
        <v>6443000.0</v>
      </c>
      <c r="J228" s="29">
        <f t="shared" si="2"/>
        <v>1610750</v>
      </c>
      <c r="K228" s="30">
        <f t="shared" ref="K228:L228" si="226">H228/12</f>
        <v>0.3333333333</v>
      </c>
      <c r="L228" s="31">
        <f t="shared" si="226"/>
        <v>536916.6667</v>
      </c>
      <c r="M228" s="32">
        <v>0.0</v>
      </c>
      <c r="N228" s="33">
        <f t="shared" si="4"/>
        <v>1</v>
      </c>
      <c r="O228" s="34">
        <f t="shared" si="5"/>
        <v>1</v>
      </c>
      <c r="P228" s="35">
        <f t="shared" si="6"/>
        <v>1</v>
      </c>
      <c r="Q228" s="36"/>
      <c r="R228" s="14"/>
      <c r="S228" s="14"/>
      <c r="T228" s="14"/>
      <c r="U228" s="14"/>
      <c r="V228" s="14"/>
      <c r="W228" s="14"/>
      <c r="X228" s="14"/>
      <c r="Y228" s="14"/>
      <c r="Z228" s="14"/>
    </row>
    <row r="229" ht="12.75" customHeight="1">
      <c r="A229" s="26" t="s">
        <v>258</v>
      </c>
      <c r="B229" s="26" t="s">
        <v>19</v>
      </c>
      <c r="C229" s="26" t="s">
        <v>20</v>
      </c>
      <c r="D229" s="27">
        <v>8.0</v>
      </c>
      <c r="E229" s="28">
        <v>6322200.0</v>
      </c>
      <c r="F229" s="27">
        <v>0.0</v>
      </c>
      <c r="G229" s="28">
        <v>0.0</v>
      </c>
      <c r="H229" s="27">
        <v>8.0</v>
      </c>
      <c r="I229" s="28">
        <v>6322200.0</v>
      </c>
      <c r="J229" s="29">
        <f t="shared" si="2"/>
        <v>790275</v>
      </c>
      <c r="K229" s="30">
        <f t="shared" ref="K229:L229" si="227">H229/12</f>
        <v>0.6666666667</v>
      </c>
      <c r="L229" s="31">
        <f t="shared" si="227"/>
        <v>526850</v>
      </c>
      <c r="M229" s="37">
        <v>0.0</v>
      </c>
      <c r="N229" s="33">
        <f t="shared" si="4"/>
        <v>2</v>
      </c>
      <c r="O229" s="34">
        <f t="shared" si="5"/>
        <v>2</v>
      </c>
      <c r="P229" s="35">
        <f t="shared" si="6"/>
        <v>2</v>
      </c>
      <c r="Q229" s="36"/>
      <c r="R229" s="14"/>
      <c r="S229" s="14"/>
      <c r="T229" s="14"/>
      <c r="U229" s="14"/>
      <c r="V229" s="14"/>
      <c r="W229" s="14"/>
      <c r="X229" s="14"/>
      <c r="Y229" s="14"/>
      <c r="Z229" s="14"/>
    </row>
    <row r="230" ht="12.75" customHeight="1">
      <c r="A230" s="26" t="s">
        <v>259</v>
      </c>
      <c r="B230" s="26" t="s">
        <v>169</v>
      </c>
      <c r="C230" s="26" t="s">
        <v>36</v>
      </c>
      <c r="D230" s="27">
        <v>361.0</v>
      </c>
      <c r="E230" s="28">
        <v>6172000.0</v>
      </c>
      <c r="F230" s="27">
        <v>0.0</v>
      </c>
      <c r="G230" s="28">
        <v>0.0</v>
      </c>
      <c r="H230" s="27">
        <v>361.0</v>
      </c>
      <c r="I230" s="28">
        <v>6172000.0</v>
      </c>
      <c r="J230" s="29">
        <f t="shared" si="2"/>
        <v>17096.95291</v>
      </c>
      <c r="K230" s="30">
        <f t="shared" ref="K230:L230" si="228">H230/12</f>
        <v>30.08333333</v>
      </c>
      <c r="L230" s="31">
        <f t="shared" si="228"/>
        <v>514333.3333</v>
      </c>
      <c r="M230" s="32">
        <v>1725.0</v>
      </c>
      <c r="N230" s="33">
        <f t="shared" si="4"/>
        <v>90.25</v>
      </c>
      <c r="O230" s="34">
        <f t="shared" si="5"/>
        <v>-1634.75</v>
      </c>
      <c r="P230" s="35" t="str">
        <f t="shared" si="6"/>
        <v/>
      </c>
      <c r="Q230" s="36"/>
      <c r="R230" s="14"/>
      <c r="S230" s="14"/>
      <c r="T230" s="14"/>
      <c r="U230" s="14"/>
      <c r="V230" s="14"/>
      <c r="W230" s="14"/>
      <c r="X230" s="14"/>
      <c r="Y230" s="14"/>
      <c r="Z230" s="14"/>
    </row>
    <row r="231" ht="12.75" customHeight="1">
      <c r="A231" s="26" t="s">
        <v>260</v>
      </c>
      <c r="B231" s="26" t="s">
        <v>25</v>
      </c>
      <c r="C231" s="26" t="s">
        <v>20</v>
      </c>
      <c r="D231" s="27">
        <v>10.0</v>
      </c>
      <c r="E231" s="28">
        <v>5389200.0</v>
      </c>
      <c r="F231" s="27">
        <v>0.0</v>
      </c>
      <c r="G231" s="28">
        <v>0.0</v>
      </c>
      <c r="H231" s="27">
        <v>10.0</v>
      </c>
      <c r="I231" s="28">
        <v>5389200.0</v>
      </c>
      <c r="J231" s="29">
        <f t="shared" si="2"/>
        <v>538920</v>
      </c>
      <c r="K231" s="30">
        <f t="shared" ref="K231:L231" si="229">H231/12</f>
        <v>0.8333333333</v>
      </c>
      <c r="L231" s="31">
        <f t="shared" si="229"/>
        <v>449100</v>
      </c>
      <c r="M231" s="37">
        <v>0.0</v>
      </c>
      <c r="N231" s="33">
        <f t="shared" si="4"/>
        <v>2.5</v>
      </c>
      <c r="O231" s="34">
        <f t="shared" si="5"/>
        <v>2.5</v>
      </c>
      <c r="P231" s="35">
        <f t="shared" si="6"/>
        <v>2.5</v>
      </c>
      <c r="Q231" s="36"/>
      <c r="R231" s="14"/>
      <c r="S231" s="14"/>
      <c r="T231" s="14"/>
      <c r="U231" s="14"/>
      <c r="V231" s="14"/>
      <c r="W231" s="14"/>
      <c r="X231" s="14"/>
      <c r="Y231" s="14"/>
      <c r="Z231" s="14"/>
    </row>
    <row r="232" ht="12.75" customHeight="1">
      <c r="A232" s="26" t="s">
        <v>261</v>
      </c>
      <c r="B232" s="26" t="s">
        <v>22</v>
      </c>
      <c r="C232" s="26" t="s">
        <v>20</v>
      </c>
      <c r="D232" s="27">
        <v>3.0</v>
      </c>
      <c r="E232" s="28">
        <v>5326500.0</v>
      </c>
      <c r="F232" s="27">
        <v>0.0</v>
      </c>
      <c r="G232" s="28">
        <v>0.0</v>
      </c>
      <c r="H232" s="27">
        <v>3.0</v>
      </c>
      <c r="I232" s="28">
        <v>5326500.0</v>
      </c>
      <c r="J232" s="29">
        <f t="shared" si="2"/>
        <v>1775500</v>
      </c>
      <c r="K232" s="30">
        <f t="shared" ref="K232:L232" si="230">H232/12</f>
        <v>0.25</v>
      </c>
      <c r="L232" s="31">
        <f t="shared" si="230"/>
        <v>443875</v>
      </c>
      <c r="M232" s="32">
        <v>0.0</v>
      </c>
      <c r="N232" s="33">
        <f t="shared" si="4"/>
        <v>0.75</v>
      </c>
      <c r="O232" s="34">
        <f t="shared" si="5"/>
        <v>0.75</v>
      </c>
      <c r="P232" s="35">
        <f t="shared" si="6"/>
        <v>0.75</v>
      </c>
      <c r="Q232" s="36"/>
      <c r="R232" s="14"/>
      <c r="S232" s="14"/>
      <c r="T232" s="14"/>
      <c r="U232" s="14"/>
      <c r="V232" s="14"/>
      <c r="W232" s="14"/>
      <c r="X232" s="14"/>
      <c r="Y232" s="14"/>
      <c r="Z232" s="14"/>
    </row>
    <row r="233" ht="12.75" customHeight="1">
      <c r="A233" s="26" t="s">
        <v>262</v>
      </c>
      <c r="B233" s="26" t="s">
        <v>22</v>
      </c>
      <c r="C233" s="26" t="s">
        <v>20</v>
      </c>
      <c r="D233" s="27">
        <v>4.0</v>
      </c>
      <c r="E233" s="28">
        <v>5310000.0</v>
      </c>
      <c r="F233" s="27">
        <v>0.0</v>
      </c>
      <c r="G233" s="28">
        <v>0.0</v>
      </c>
      <c r="H233" s="27">
        <v>4.0</v>
      </c>
      <c r="I233" s="28">
        <v>5310000.0</v>
      </c>
      <c r="J233" s="29">
        <f t="shared" si="2"/>
        <v>1327500</v>
      </c>
      <c r="K233" s="30">
        <f t="shared" ref="K233:L233" si="231">H233/12</f>
        <v>0.3333333333</v>
      </c>
      <c r="L233" s="31">
        <f t="shared" si="231"/>
        <v>442500</v>
      </c>
      <c r="M233" s="37">
        <v>0.0</v>
      </c>
      <c r="N233" s="33">
        <f t="shared" si="4"/>
        <v>1</v>
      </c>
      <c r="O233" s="34">
        <f t="shared" si="5"/>
        <v>1</v>
      </c>
      <c r="P233" s="35">
        <f t="shared" si="6"/>
        <v>1</v>
      </c>
      <c r="Q233" s="36"/>
      <c r="R233" s="14"/>
      <c r="S233" s="14"/>
      <c r="T233" s="14"/>
      <c r="U233" s="14"/>
      <c r="V233" s="14"/>
      <c r="W233" s="14"/>
      <c r="X233" s="14"/>
      <c r="Y233" s="14"/>
      <c r="Z233" s="14"/>
    </row>
    <row r="234" ht="12.75" customHeight="1">
      <c r="A234" s="26" t="s">
        <v>263</v>
      </c>
      <c r="B234" s="26" t="s">
        <v>22</v>
      </c>
      <c r="C234" s="26" t="s">
        <v>20</v>
      </c>
      <c r="D234" s="27">
        <v>5.0</v>
      </c>
      <c r="E234" s="28">
        <v>5086000.0</v>
      </c>
      <c r="F234" s="27">
        <v>0.0</v>
      </c>
      <c r="G234" s="28">
        <v>0.0</v>
      </c>
      <c r="H234" s="27">
        <v>5.0</v>
      </c>
      <c r="I234" s="28">
        <v>5086000.0</v>
      </c>
      <c r="J234" s="29">
        <f t="shared" si="2"/>
        <v>1017200</v>
      </c>
      <c r="K234" s="30">
        <f t="shared" ref="K234:L234" si="232">H234/12</f>
        <v>0.4166666667</v>
      </c>
      <c r="L234" s="31">
        <f t="shared" si="232"/>
        <v>423833.3333</v>
      </c>
      <c r="M234" s="32">
        <v>0.0</v>
      </c>
      <c r="N234" s="33">
        <f t="shared" si="4"/>
        <v>1.25</v>
      </c>
      <c r="O234" s="34">
        <f t="shared" si="5"/>
        <v>1.25</v>
      </c>
      <c r="P234" s="35">
        <f t="shared" si="6"/>
        <v>1.25</v>
      </c>
      <c r="Q234" s="36"/>
      <c r="R234" s="14"/>
      <c r="S234" s="14"/>
      <c r="T234" s="14"/>
      <c r="U234" s="14"/>
      <c r="V234" s="14"/>
      <c r="W234" s="14"/>
      <c r="X234" s="14"/>
      <c r="Y234" s="14"/>
      <c r="Z234" s="14"/>
    </row>
    <row r="235" ht="12.75" customHeight="1">
      <c r="A235" s="26" t="s">
        <v>264</v>
      </c>
      <c r="B235" s="26" t="s">
        <v>31</v>
      </c>
      <c r="C235" s="26" t="s">
        <v>20</v>
      </c>
      <c r="D235" s="27">
        <v>4.0</v>
      </c>
      <c r="E235" s="28">
        <v>4856250.0</v>
      </c>
      <c r="F235" s="27">
        <v>0.0</v>
      </c>
      <c r="G235" s="28">
        <v>0.0</v>
      </c>
      <c r="H235" s="27">
        <v>4.0</v>
      </c>
      <c r="I235" s="28">
        <v>4856250.0</v>
      </c>
      <c r="J235" s="29">
        <f t="shared" si="2"/>
        <v>1214062.5</v>
      </c>
      <c r="K235" s="30">
        <f t="shared" ref="K235:L235" si="233">H235/12</f>
        <v>0.3333333333</v>
      </c>
      <c r="L235" s="31">
        <f t="shared" si="233"/>
        <v>404687.5</v>
      </c>
      <c r="M235" s="37">
        <v>0.0</v>
      </c>
      <c r="N235" s="33">
        <f t="shared" si="4"/>
        <v>1</v>
      </c>
      <c r="O235" s="34">
        <f t="shared" si="5"/>
        <v>1</v>
      </c>
      <c r="P235" s="35">
        <f t="shared" si="6"/>
        <v>1</v>
      </c>
      <c r="Q235" s="36"/>
      <c r="R235" s="14"/>
      <c r="S235" s="14"/>
      <c r="T235" s="14"/>
      <c r="U235" s="14"/>
      <c r="V235" s="14"/>
      <c r="W235" s="14"/>
      <c r="X235" s="14"/>
      <c r="Y235" s="14"/>
      <c r="Z235" s="14"/>
    </row>
    <row r="236" ht="12.75" customHeight="1">
      <c r="A236" s="26" t="s">
        <v>265</v>
      </c>
      <c r="B236" s="26" t="s">
        <v>22</v>
      </c>
      <c r="C236" s="26" t="s">
        <v>20</v>
      </c>
      <c r="D236" s="27">
        <v>4.0</v>
      </c>
      <c r="E236" s="28">
        <v>4760000.0</v>
      </c>
      <c r="F236" s="27">
        <v>0.0</v>
      </c>
      <c r="G236" s="28">
        <v>0.0</v>
      </c>
      <c r="H236" s="27">
        <v>4.0</v>
      </c>
      <c r="I236" s="28">
        <v>4760000.0</v>
      </c>
      <c r="J236" s="29">
        <f t="shared" si="2"/>
        <v>1190000</v>
      </c>
      <c r="K236" s="30">
        <f t="shared" ref="K236:L236" si="234">H236/12</f>
        <v>0.3333333333</v>
      </c>
      <c r="L236" s="31">
        <f t="shared" si="234"/>
        <v>396666.6667</v>
      </c>
      <c r="M236" s="32">
        <v>0.0</v>
      </c>
      <c r="N236" s="33">
        <f t="shared" si="4"/>
        <v>1</v>
      </c>
      <c r="O236" s="34">
        <f t="shared" si="5"/>
        <v>1</v>
      </c>
      <c r="P236" s="35">
        <f t="shared" si="6"/>
        <v>1</v>
      </c>
      <c r="Q236" s="36"/>
      <c r="R236" s="14"/>
      <c r="S236" s="14"/>
      <c r="T236" s="14"/>
      <c r="U236" s="14"/>
      <c r="V236" s="14"/>
      <c r="W236" s="14"/>
      <c r="X236" s="14"/>
      <c r="Y236" s="14"/>
      <c r="Z236" s="14"/>
    </row>
    <row r="237" ht="12.75" customHeight="1">
      <c r="A237" s="26" t="s">
        <v>266</v>
      </c>
      <c r="B237" s="26" t="s">
        <v>194</v>
      </c>
      <c r="C237" s="26" t="s">
        <v>20</v>
      </c>
      <c r="D237" s="27">
        <v>3.0</v>
      </c>
      <c r="E237" s="28">
        <v>4464200.0</v>
      </c>
      <c r="F237" s="27">
        <v>0.0</v>
      </c>
      <c r="G237" s="28">
        <v>0.0</v>
      </c>
      <c r="H237" s="27">
        <v>3.0</v>
      </c>
      <c r="I237" s="28">
        <v>4464200.0</v>
      </c>
      <c r="J237" s="29">
        <f t="shared" si="2"/>
        <v>1488066.667</v>
      </c>
      <c r="K237" s="30">
        <f t="shared" ref="K237:L237" si="235">H237/12</f>
        <v>0.25</v>
      </c>
      <c r="L237" s="31">
        <f t="shared" si="235"/>
        <v>372016.6667</v>
      </c>
      <c r="M237" s="32">
        <v>2.0</v>
      </c>
      <c r="N237" s="33">
        <f t="shared" si="4"/>
        <v>0.75</v>
      </c>
      <c r="O237" s="34">
        <f t="shared" si="5"/>
        <v>-1.25</v>
      </c>
      <c r="P237" s="35" t="str">
        <f t="shared" si="6"/>
        <v/>
      </c>
      <c r="Q237" s="36"/>
      <c r="R237" s="14"/>
      <c r="S237" s="14"/>
      <c r="T237" s="14"/>
      <c r="U237" s="14"/>
      <c r="V237" s="14"/>
      <c r="W237" s="14"/>
      <c r="X237" s="14"/>
      <c r="Y237" s="14"/>
      <c r="Z237" s="14"/>
    </row>
    <row r="238" ht="12.75" customHeight="1">
      <c r="A238" s="26" t="s">
        <v>267</v>
      </c>
      <c r="B238" s="26" t="s">
        <v>25</v>
      </c>
      <c r="C238" s="26" t="s">
        <v>20</v>
      </c>
      <c r="D238" s="27">
        <v>8.0</v>
      </c>
      <c r="E238" s="28">
        <v>4348800.0</v>
      </c>
      <c r="F238" s="27">
        <v>0.0</v>
      </c>
      <c r="G238" s="28">
        <v>0.0</v>
      </c>
      <c r="H238" s="27">
        <v>8.0</v>
      </c>
      <c r="I238" s="28">
        <v>4348800.0</v>
      </c>
      <c r="J238" s="29">
        <f t="shared" si="2"/>
        <v>543600</v>
      </c>
      <c r="K238" s="30">
        <f t="shared" ref="K238:L238" si="236">H238/12</f>
        <v>0.6666666667</v>
      </c>
      <c r="L238" s="31">
        <f t="shared" si="236"/>
        <v>362400</v>
      </c>
      <c r="M238" s="32">
        <v>0.0</v>
      </c>
      <c r="N238" s="33">
        <f t="shared" si="4"/>
        <v>2</v>
      </c>
      <c r="O238" s="34">
        <f t="shared" si="5"/>
        <v>2</v>
      </c>
      <c r="P238" s="35">
        <f t="shared" si="6"/>
        <v>2</v>
      </c>
      <c r="Q238" s="36"/>
      <c r="R238" s="14"/>
      <c r="S238" s="14"/>
      <c r="T238" s="14"/>
      <c r="U238" s="14"/>
      <c r="V238" s="14"/>
      <c r="W238" s="14"/>
      <c r="X238" s="14"/>
      <c r="Y238" s="14"/>
      <c r="Z238" s="14"/>
    </row>
    <row r="239" ht="12.75" customHeight="1">
      <c r="A239" s="26" t="s">
        <v>268</v>
      </c>
      <c r="B239" s="26" t="s">
        <v>22</v>
      </c>
      <c r="C239" s="26" t="s">
        <v>20</v>
      </c>
      <c r="D239" s="27">
        <v>4.0</v>
      </c>
      <c r="E239" s="28">
        <v>4222500.0</v>
      </c>
      <c r="F239" s="27">
        <v>0.0</v>
      </c>
      <c r="G239" s="28">
        <v>0.0</v>
      </c>
      <c r="H239" s="27">
        <v>4.0</v>
      </c>
      <c r="I239" s="28">
        <v>4222500.0</v>
      </c>
      <c r="J239" s="29">
        <f t="shared" si="2"/>
        <v>1055625</v>
      </c>
      <c r="K239" s="30">
        <f t="shared" ref="K239:L239" si="237">H239/12</f>
        <v>0.3333333333</v>
      </c>
      <c r="L239" s="31">
        <f t="shared" si="237"/>
        <v>351875</v>
      </c>
      <c r="M239" s="32">
        <v>0.0</v>
      </c>
      <c r="N239" s="33">
        <f t="shared" si="4"/>
        <v>1</v>
      </c>
      <c r="O239" s="34">
        <f t="shared" si="5"/>
        <v>1</v>
      </c>
      <c r="P239" s="35">
        <f t="shared" si="6"/>
        <v>1</v>
      </c>
      <c r="Q239" s="36"/>
      <c r="R239" s="14"/>
      <c r="S239" s="14"/>
      <c r="T239" s="14"/>
      <c r="U239" s="14"/>
      <c r="V239" s="14"/>
      <c r="W239" s="14"/>
      <c r="X239" s="14"/>
      <c r="Y239" s="14"/>
      <c r="Z239" s="14"/>
    </row>
    <row r="240" ht="12.75" customHeight="1">
      <c r="A240" s="26" t="s">
        <v>269</v>
      </c>
      <c r="B240" s="26" t="s">
        <v>169</v>
      </c>
      <c r="C240" s="26" t="s">
        <v>36</v>
      </c>
      <c r="D240" s="27">
        <v>196.0</v>
      </c>
      <c r="E240" s="28">
        <v>4193950.0</v>
      </c>
      <c r="F240" s="27">
        <v>0.0</v>
      </c>
      <c r="G240" s="28">
        <v>0.0</v>
      </c>
      <c r="H240" s="27">
        <v>196.0</v>
      </c>
      <c r="I240" s="28">
        <v>4193950.0</v>
      </c>
      <c r="J240" s="29">
        <f t="shared" si="2"/>
        <v>21397.70408</v>
      </c>
      <c r="K240" s="30">
        <f t="shared" ref="K240:L240" si="238">H240/12</f>
        <v>16.33333333</v>
      </c>
      <c r="L240" s="31">
        <f t="shared" si="238"/>
        <v>349495.8333</v>
      </c>
      <c r="M240" s="32">
        <v>47.0</v>
      </c>
      <c r="N240" s="33">
        <f t="shared" si="4"/>
        <v>49</v>
      </c>
      <c r="O240" s="34">
        <f t="shared" si="5"/>
        <v>2</v>
      </c>
      <c r="P240" s="35">
        <f t="shared" si="6"/>
        <v>2</v>
      </c>
      <c r="Q240" s="36"/>
      <c r="R240" s="14"/>
      <c r="S240" s="14"/>
      <c r="T240" s="14"/>
      <c r="U240" s="14"/>
      <c r="V240" s="14"/>
      <c r="W240" s="14"/>
      <c r="X240" s="14"/>
      <c r="Y240" s="14"/>
      <c r="Z240" s="14"/>
    </row>
    <row r="241" ht="12.75" customHeight="1">
      <c r="A241" s="26" t="s">
        <v>270</v>
      </c>
      <c r="B241" s="26" t="s">
        <v>56</v>
      </c>
      <c r="C241" s="26" t="s">
        <v>20</v>
      </c>
      <c r="D241" s="27">
        <v>5.0</v>
      </c>
      <c r="E241" s="28">
        <v>3984000.0</v>
      </c>
      <c r="F241" s="27">
        <v>0.0</v>
      </c>
      <c r="G241" s="28">
        <v>0.0</v>
      </c>
      <c r="H241" s="27">
        <v>5.0</v>
      </c>
      <c r="I241" s="28">
        <v>3984000.0</v>
      </c>
      <c r="J241" s="29">
        <f t="shared" si="2"/>
        <v>796800</v>
      </c>
      <c r="K241" s="30">
        <f t="shared" ref="K241:L241" si="239">H241/12</f>
        <v>0.4166666667</v>
      </c>
      <c r="L241" s="31">
        <f t="shared" si="239"/>
        <v>332000</v>
      </c>
      <c r="M241" s="32">
        <v>0.0</v>
      </c>
      <c r="N241" s="33">
        <f t="shared" si="4"/>
        <v>1.25</v>
      </c>
      <c r="O241" s="34">
        <f t="shared" si="5"/>
        <v>1.25</v>
      </c>
      <c r="P241" s="35">
        <f t="shared" si="6"/>
        <v>1.25</v>
      </c>
      <c r="Q241" s="36"/>
      <c r="R241" s="14"/>
      <c r="S241" s="14"/>
      <c r="T241" s="14"/>
      <c r="U241" s="14"/>
      <c r="V241" s="14"/>
      <c r="W241" s="14"/>
      <c r="X241" s="14"/>
      <c r="Y241" s="14"/>
      <c r="Z241" s="14"/>
    </row>
    <row r="242" ht="12.75" customHeight="1">
      <c r="A242" s="26" t="s">
        <v>271</v>
      </c>
      <c r="B242" s="26" t="s">
        <v>22</v>
      </c>
      <c r="C242" s="26" t="s">
        <v>20</v>
      </c>
      <c r="D242" s="27">
        <v>3.0</v>
      </c>
      <c r="E242" s="28">
        <v>3915000.0</v>
      </c>
      <c r="F242" s="27">
        <v>0.0</v>
      </c>
      <c r="G242" s="28">
        <v>0.0</v>
      </c>
      <c r="H242" s="27">
        <v>3.0</v>
      </c>
      <c r="I242" s="28">
        <v>3915000.0</v>
      </c>
      <c r="J242" s="29">
        <f t="shared" si="2"/>
        <v>1305000</v>
      </c>
      <c r="K242" s="30">
        <f t="shared" ref="K242:L242" si="240">H242/12</f>
        <v>0.25</v>
      </c>
      <c r="L242" s="31">
        <f t="shared" si="240"/>
        <v>326250</v>
      </c>
      <c r="M242" s="32">
        <v>0.0</v>
      </c>
      <c r="N242" s="33">
        <f t="shared" si="4"/>
        <v>0.75</v>
      </c>
      <c r="O242" s="34">
        <f t="shared" si="5"/>
        <v>0.75</v>
      </c>
      <c r="P242" s="35">
        <f t="shared" si="6"/>
        <v>0.75</v>
      </c>
      <c r="Q242" s="36"/>
      <c r="R242" s="14"/>
      <c r="S242" s="14"/>
      <c r="T242" s="14"/>
      <c r="U242" s="14"/>
      <c r="V242" s="14"/>
      <c r="W242" s="14"/>
      <c r="X242" s="14"/>
      <c r="Y242" s="14"/>
      <c r="Z242" s="14"/>
    </row>
    <row r="243" ht="12.75" customHeight="1">
      <c r="A243" s="26" t="s">
        <v>272</v>
      </c>
      <c r="B243" s="26" t="s">
        <v>169</v>
      </c>
      <c r="C243" s="26" t="s">
        <v>36</v>
      </c>
      <c r="D243" s="27">
        <v>91.0</v>
      </c>
      <c r="E243" s="28">
        <v>3882150.0</v>
      </c>
      <c r="F243" s="27">
        <v>0.0</v>
      </c>
      <c r="G243" s="28">
        <v>0.0</v>
      </c>
      <c r="H243" s="27">
        <v>91.0</v>
      </c>
      <c r="I243" s="28">
        <v>3882150.0</v>
      </c>
      <c r="J243" s="29">
        <f t="shared" si="2"/>
        <v>42660.98901</v>
      </c>
      <c r="K243" s="30">
        <f t="shared" ref="K243:L243" si="241">H243/12</f>
        <v>7.583333333</v>
      </c>
      <c r="L243" s="31">
        <f t="shared" si="241"/>
        <v>323512.5</v>
      </c>
      <c r="M243" s="37">
        <v>69.0</v>
      </c>
      <c r="N243" s="33">
        <f t="shared" si="4"/>
        <v>22.75</v>
      </c>
      <c r="O243" s="34">
        <f t="shared" si="5"/>
        <v>-46.25</v>
      </c>
      <c r="P243" s="35" t="str">
        <f t="shared" si="6"/>
        <v/>
      </c>
      <c r="Q243" s="36"/>
      <c r="R243" s="14"/>
      <c r="S243" s="14"/>
      <c r="T243" s="14"/>
      <c r="U243" s="14"/>
      <c r="V243" s="14"/>
      <c r="W243" s="14"/>
      <c r="X243" s="14"/>
      <c r="Y243" s="14"/>
      <c r="Z243" s="14"/>
    </row>
    <row r="244" ht="12.75" customHeight="1">
      <c r="A244" s="26" t="s">
        <v>273</v>
      </c>
      <c r="B244" s="26" t="s">
        <v>169</v>
      </c>
      <c r="C244" s="26" t="s">
        <v>36</v>
      </c>
      <c r="D244" s="27">
        <v>164.0</v>
      </c>
      <c r="E244" s="28">
        <v>3843500.0</v>
      </c>
      <c r="F244" s="27">
        <v>0.0</v>
      </c>
      <c r="G244" s="28">
        <v>0.0</v>
      </c>
      <c r="H244" s="27">
        <v>164.0</v>
      </c>
      <c r="I244" s="28">
        <v>3843500.0</v>
      </c>
      <c r="J244" s="29">
        <f t="shared" si="2"/>
        <v>23435.97561</v>
      </c>
      <c r="K244" s="30">
        <f t="shared" ref="K244:L244" si="242">H244/12</f>
        <v>13.66666667</v>
      </c>
      <c r="L244" s="31">
        <f t="shared" si="242"/>
        <v>320291.6667</v>
      </c>
      <c r="M244" s="32">
        <v>387.0</v>
      </c>
      <c r="N244" s="33">
        <f t="shared" si="4"/>
        <v>41</v>
      </c>
      <c r="O244" s="34">
        <f t="shared" si="5"/>
        <v>-346</v>
      </c>
      <c r="P244" s="35" t="str">
        <f t="shared" si="6"/>
        <v/>
      </c>
      <c r="Q244" s="36"/>
      <c r="R244" s="14"/>
      <c r="S244" s="14"/>
      <c r="T244" s="14"/>
      <c r="U244" s="14"/>
      <c r="V244" s="14"/>
      <c r="W244" s="14"/>
      <c r="X244" s="14"/>
      <c r="Y244" s="14"/>
      <c r="Z244" s="14"/>
    </row>
    <row r="245" ht="12.75" customHeight="1">
      <c r="A245" s="26" t="s">
        <v>274</v>
      </c>
      <c r="B245" s="26" t="s">
        <v>31</v>
      </c>
      <c r="C245" s="26" t="s">
        <v>20</v>
      </c>
      <c r="D245" s="27">
        <v>3.0</v>
      </c>
      <c r="E245" s="28">
        <v>3801600.0</v>
      </c>
      <c r="F245" s="27">
        <v>0.0</v>
      </c>
      <c r="G245" s="28">
        <v>0.0</v>
      </c>
      <c r="H245" s="27">
        <v>3.0</v>
      </c>
      <c r="I245" s="28">
        <v>3801600.0</v>
      </c>
      <c r="J245" s="29">
        <f t="shared" si="2"/>
        <v>1267200</v>
      </c>
      <c r="K245" s="30">
        <f t="shared" ref="K245:L245" si="243">H245/12</f>
        <v>0.25</v>
      </c>
      <c r="L245" s="31">
        <f t="shared" si="243"/>
        <v>316800</v>
      </c>
      <c r="M245" s="32">
        <v>0.0</v>
      </c>
      <c r="N245" s="33">
        <f t="shared" si="4"/>
        <v>0.75</v>
      </c>
      <c r="O245" s="34">
        <f t="shared" si="5"/>
        <v>0.75</v>
      </c>
      <c r="P245" s="35">
        <f t="shared" si="6"/>
        <v>0.75</v>
      </c>
      <c r="Q245" s="36"/>
      <c r="R245" s="14"/>
      <c r="S245" s="14"/>
      <c r="T245" s="14"/>
      <c r="U245" s="14"/>
      <c r="V245" s="14"/>
      <c r="W245" s="14"/>
      <c r="X245" s="14"/>
      <c r="Y245" s="14"/>
      <c r="Z245" s="14"/>
    </row>
    <row r="246" ht="12.75" customHeight="1">
      <c r="A246" s="26" t="s">
        <v>275</v>
      </c>
      <c r="B246" s="26" t="s">
        <v>22</v>
      </c>
      <c r="C246" s="26" t="s">
        <v>20</v>
      </c>
      <c r="D246" s="27">
        <v>3.0</v>
      </c>
      <c r="E246" s="28">
        <v>3565000.0</v>
      </c>
      <c r="F246" s="27">
        <v>0.0</v>
      </c>
      <c r="G246" s="28">
        <v>0.0</v>
      </c>
      <c r="H246" s="27">
        <v>3.0</v>
      </c>
      <c r="I246" s="28">
        <v>3565000.0</v>
      </c>
      <c r="J246" s="29">
        <f t="shared" si="2"/>
        <v>1188333.333</v>
      </c>
      <c r="K246" s="30">
        <f t="shared" ref="K246:L246" si="244">H246/12</f>
        <v>0.25</v>
      </c>
      <c r="L246" s="31">
        <f t="shared" si="244"/>
        <v>297083.3333</v>
      </c>
      <c r="M246" s="32">
        <v>0.0</v>
      </c>
      <c r="N246" s="33">
        <f t="shared" si="4"/>
        <v>0.75</v>
      </c>
      <c r="O246" s="34">
        <f t="shared" si="5"/>
        <v>0.75</v>
      </c>
      <c r="P246" s="35">
        <f t="shared" si="6"/>
        <v>0.75</v>
      </c>
      <c r="Q246" s="36"/>
      <c r="R246" s="14"/>
      <c r="S246" s="14"/>
      <c r="T246" s="14"/>
      <c r="U246" s="14"/>
      <c r="V246" s="14"/>
      <c r="W246" s="14"/>
      <c r="X246" s="14"/>
      <c r="Y246" s="14"/>
      <c r="Z246" s="14"/>
    </row>
    <row r="247" ht="12.75" customHeight="1">
      <c r="A247" s="26" t="s">
        <v>276</v>
      </c>
      <c r="B247" s="26" t="s">
        <v>169</v>
      </c>
      <c r="C247" s="26" t="s">
        <v>36</v>
      </c>
      <c r="D247" s="27">
        <v>108.0</v>
      </c>
      <c r="E247" s="28">
        <v>3402300.0</v>
      </c>
      <c r="F247" s="27">
        <v>0.0</v>
      </c>
      <c r="G247" s="28">
        <v>0.0</v>
      </c>
      <c r="H247" s="27">
        <v>108.0</v>
      </c>
      <c r="I247" s="28">
        <v>3402300.0</v>
      </c>
      <c r="J247" s="29">
        <f t="shared" si="2"/>
        <v>31502.77778</v>
      </c>
      <c r="K247" s="30">
        <f t="shared" ref="K247:L247" si="245">H247/12</f>
        <v>9</v>
      </c>
      <c r="L247" s="31">
        <f t="shared" si="245"/>
        <v>283525</v>
      </c>
      <c r="M247" s="32">
        <v>8.0</v>
      </c>
      <c r="N247" s="33">
        <f t="shared" si="4"/>
        <v>27</v>
      </c>
      <c r="O247" s="34">
        <f t="shared" si="5"/>
        <v>19</v>
      </c>
      <c r="P247" s="35">
        <f t="shared" si="6"/>
        <v>19</v>
      </c>
      <c r="Q247" s="36"/>
      <c r="R247" s="14"/>
      <c r="S247" s="14"/>
      <c r="T247" s="14"/>
      <c r="U247" s="14"/>
      <c r="V247" s="14"/>
      <c r="W247" s="14"/>
      <c r="X247" s="14"/>
      <c r="Y247" s="14"/>
      <c r="Z247" s="14"/>
    </row>
    <row r="248" ht="12.75" customHeight="1">
      <c r="A248" s="26" t="s">
        <v>277</v>
      </c>
      <c r="B248" s="26" t="s">
        <v>31</v>
      </c>
      <c r="C248" s="26" t="s">
        <v>20</v>
      </c>
      <c r="D248" s="27">
        <v>4.0</v>
      </c>
      <c r="E248" s="28">
        <v>3343200.0</v>
      </c>
      <c r="F248" s="27">
        <v>0.0</v>
      </c>
      <c r="G248" s="28">
        <v>0.0</v>
      </c>
      <c r="H248" s="27">
        <v>4.0</v>
      </c>
      <c r="I248" s="28">
        <v>3343200.0</v>
      </c>
      <c r="J248" s="29">
        <f t="shared" si="2"/>
        <v>835800</v>
      </c>
      <c r="K248" s="30">
        <f t="shared" ref="K248:L248" si="246">H248/12</f>
        <v>0.3333333333</v>
      </c>
      <c r="L248" s="31">
        <f t="shared" si="246"/>
        <v>278600</v>
      </c>
      <c r="M248" s="32">
        <v>0.0</v>
      </c>
      <c r="N248" s="33">
        <f t="shared" si="4"/>
        <v>1</v>
      </c>
      <c r="O248" s="34">
        <f t="shared" si="5"/>
        <v>1</v>
      </c>
      <c r="P248" s="35">
        <f t="shared" si="6"/>
        <v>1</v>
      </c>
      <c r="Q248" s="36"/>
      <c r="R248" s="14"/>
      <c r="S248" s="14"/>
      <c r="T248" s="14"/>
      <c r="U248" s="14"/>
      <c r="V248" s="14"/>
      <c r="W248" s="14"/>
      <c r="X248" s="14"/>
      <c r="Y248" s="14"/>
      <c r="Z248" s="14"/>
    </row>
    <row r="249" ht="12.75" customHeight="1">
      <c r="A249" s="26" t="s">
        <v>278</v>
      </c>
      <c r="B249" s="26" t="s">
        <v>22</v>
      </c>
      <c r="C249" s="26" t="s">
        <v>20</v>
      </c>
      <c r="D249" s="27">
        <v>3.0</v>
      </c>
      <c r="E249" s="28">
        <v>3315000.0</v>
      </c>
      <c r="F249" s="27">
        <v>0.0</v>
      </c>
      <c r="G249" s="28">
        <v>0.0</v>
      </c>
      <c r="H249" s="27">
        <v>3.0</v>
      </c>
      <c r="I249" s="28">
        <v>3315000.0</v>
      </c>
      <c r="J249" s="29">
        <f t="shared" si="2"/>
        <v>1105000</v>
      </c>
      <c r="K249" s="30">
        <f t="shared" ref="K249:L249" si="247">H249/12</f>
        <v>0.25</v>
      </c>
      <c r="L249" s="31">
        <f t="shared" si="247"/>
        <v>276250</v>
      </c>
      <c r="M249" s="32">
        <v>0.0</v>
      </c>
      <c r="N249" s="33">
        <f t="shared" si="4"/>
        <v>0.75</v>
      </c>
      <c r="O249" s="34">
        <f t="shared" si="5"/>
        <v>0.75</v>
      </c>
      <c r="P249" s="35">
        <f t="shared" si="6"/>
        <v>0.75</v>
      </c>
      <c r="Q249" s="36"/>
      <c r="R249" s="14"/>
      <c r="S249" s="14"/>
      <c r="T249" s="14"/>
      <c r="U249" s="14"/>
      <c r="V249" s="14"/>
      <c r="W249" s="14"/>
      <c r="X249" s="14"/>
      <c r="Y249" s="14"/>
      <c r="Z249" s="14"/>
    </row>
    <row r="250" ht="12.75" customHeight="1">
      <c r="A250" s="26" t="s">
        <v>279</v>
      </c>
      <c r="B250" s="26" t="s">
        <v>19</v>
      </c>
      <c r="C250" s="26" t="s">
        <v>20</v>
      </c>
      <c r="D250" s="27">
        <v>6.0</v>
      </c>
      <c r="E250" s="28">
        <v>3300000.0</v>
      </c>
      <c r="F250" s="27">
        <v>0.0</v>
      </c>
      <c r="G250" s="28">
        <v>0.0</v>
      </c>
      <c r="H250" s="27">
        <v>6.0</v>
      </c>
      <c r="I250" s="28">
        <v>3300000.0</v>
      </c>
      <c r="J250" s="29">
        <f t="shared" si="2"/>
        <v>550000</v>
      </c>
      <c r="K250" s="30">
        <f t="shared" ref="K250:L250" si="248">H250/12</f>
        <v>0.5</v>
      </c>
      <c r="L250" s="31">
        <f t="shared" si="248"/>
        <v>275000</v>
      </c>
      <c r="M250" s="32">
        <v>0.0</v>
      </c>
      <c r="N250" s="33">
        <f t="shared" si="4"/>
        <v>1.5</v>
      </c>
      <c r="O250" s="34">
        <f t="shared" si="5"/>
        <v>1.5</v>
      </c>
      <c r="P250" s="35">
        <f t="shared" si="6"/>
        <v>1.5</v>
      </c>
      <c r="Q250" s="36"/>
      <c r="R250" s="14"/>
      <c r="S250" s="14"/>
      <c r="T250" s="14"/>
      <c r="U250" s="14"/>
      <c r="V250" s="14"/>
      <c r="W250" s="14"/>
      <c r="X250" s="14"/>
      <c r="Y250" s="14"/>
      <c r="Z250" s="14"/>
    </row>
    <row r="251" ht="12.75" customHeight="1">
      <c r="A251" s="26" t="s">
        <v>280</v>
      </c>
      <c r="B251" s="26" t="s">
        <v>31</v>
      </c>
      <c r="C251" s="26" t="s">
        <v>20</v>
      </c>
      <c r="D251" s="27">
        <v>3.0</v>
      </c>
      <c r="E251" s="28">
        <v>3200000.0</v>
      </c>
      <c r="F251" s="27">
        <v>0.0</v>
      </c>
      <c r="G251" s="28">
        <v>0.0</v>
      </c>
      <c r="H251" s="27">
        <v>3.0</v>
      </c>
      <c r="I251" s="28">
        <v>3200000.0</v>
      </c>
      <c r="J251" s="29">
        <f t="shared" si="2"/>
        <v>1066666.667</v>
      </c>
      <c r="K251" s="30">
        <f t="shared" ref="K251:L251" si="249">H251/12</f>
        <v>0.25</v>
      </c>
      <c r="L251" s="31">
        <f t="shared" si="249"/>
        <v>266666.6667</v>
      </c>
      <c r="M251" s="32">
        <v>1.0</v>
      </c>
      <c r="N251" s="33">
        <f t="shared" si="4"/>
        <v>0.75</v>
      </c>
      <c r="O251" s="34">
        <f t="shared" si="5"/>
        <v>-0.25</v>
      </c>
      <c r="P251" s="35" t="str">
        <f t="shared" si="6"/>
        <v/>
      </c>
      <c r="Q251" s="36"/>
      <c r="R251" s="14"/>
      <c r="S251" s="14"/>
      <c r="T251" s="14"/>
      <c r="U251" s="14"/>
      <c r="V251" s="14"/>
      <c r="W251" s="14"/>
      <c r="X251" s="14"/>
      <c r="Y251" s="14"/>
      <c r="Z251" s="14"/>
    </row>
    <row r="252" ht="12.75" customHeight="1">
      <c r="A252" s="26" t="s">
        <v>281</v>
      </c>
      <c r="B252" s="26" t="s">
        <v>22</v>
      </c>
      <c r="C252" s="26" t="s">
        <v>20</v>
      </c>
      <c r="D252" s="27">
        <v>2.0</v>
      </c>
      <c r="E252" s="28">
        <v>3022500.0</v>
      </c>
      <c r="F252" s="27">
        <v>0.0</v>
      </c>
      <c r="G252" s="28">
        <v>0.0</v>
      </c>
      <c r="H252" s="27">
        <v>2.0</v>
      </c>
      <c r="I252" s="28">
        <v>3022500.0</v>
      </c>
      <c r="J252" s="29">
        <f t="shared" si="2"/>
        <v>1511250</v>
      </c>
      <c r="K252" s="30">
        <f t="shared" ref="K252:L252" si="250">H252/12</f>
        <v>0.1666666667</v>
      </c>
      <c r="L252" s="31">
        <f t="shared" si="250"/>
        <v>251875</v>
      </c>
      <c r="M252" s="32">
        <v>0.0</v>
      </c>
      <c r="N252" s="33">
        <f t="shared" si="4"/>
        <v>0.5</v>
      </c>
      <c r="O252" s="34">
        <f t="shared" si="5"/>
        <v>0.5</v>
      </c>
      <c r="P252" s="35">
        <f t="shared" si="6"/>
        <v>0.5</v>
      </c>
      <c r="Q252" s="36"/>
      <c r="R252" s="14"/>
      <c r="S252" s="14"/>
      <c r="T252" s="14"/>
      <c r="U252" s="14"/>
      <c r="V252" s="14"/>
      <c r="W252" s="14"/>
      <c r="X252" s="14"/>
      <c r="Y252" s="14"/>
      <c r="Z252" s="14"/>
    </row>
    <row r="253" ht="12.75" customHeight="1">
      <c r="A253" s="26" t="s">
        <v>282</v>
      </c>
      <c r="B253" s="26" t="s">
        <v>22</v>
      </c>
      <c r="C253" s="26" t="s">
        <v>20</v>
      </c>
      <c r="D253" s="27">
        <v>2.0</v>
      </c>
      <c r="E253" s="28">
        <v>3022500.0</v>
      </c>
      <c r="F253" s="27">
        <v>0.0</v>
      </c>
      <c r="G253" s="28">
        <v>0.0</v>
      </c>
      <c r="H253" s="27">
        <v>2.0</v>
      </c>
      <c r="I253" s="28">
        <v>3022500.0</v>
      </c>
      <c r="J253" s="29">
        <f t="shared" si="2"/>
        <v>1511250</v>
      </c>
      <c r="K253" s="30">
        <f t="shared" ref="K253:L253" si="251">H253/12</f>
        <v>0.1666666667</v>
      </c>
      <c r="L253" s="31">
        <f t="shared" si="251"/>
        <v>251875</v>
      </c>
      <c r="M253" s="32">
        <v>0.0</v>
      </c>
      <c r="N253" s="33">
        <f t="shared" si="4"/>
        <v>0.5</v>
      </c>
      <c r="O253" s="34">
        <f t="shared" si="5"/>
        <v>0.5</v>
      </c>
      <c r="P253" s="35">
        <f t="shared" si="6"/>
        <v>0.5</v>
      </c>
      <c r="Q253" s="36"/>
      <c r="R253" s="14"/>
      <c r="S253" s="14"/>
      <c r="T253" s="14"/>
      <c r="U253" s="14"/>
      <c r="V253" s="14"/>
      <c r="W253" s="14"/>
      <c r="X253" s="14"/>
      <c r="Y253" s="14"/>
      <c r="Z253" s="14"/>
    </row>
    <row r="254" ht="12.75" customHeight="1">
      <c r="A254" s="26" t="s">
        <v>283</v>
      </c>
      <c r="B254" s="26" t="s">
        <v>169</v>
      </c>
      <c r="C254" s="26" t="s">
        <v>203</v>
      </c>
      <c r="D254" s="27">
        <v>150.0</v>
      </c>
      <c r="E254" s="28">
        <v>2810550.0</v>
      </c>
      <c r="F254" s="27">
        <v>0.0</v>
      </c>
      <c r="G254" s="28">
        <v>0.0</v>
      </c>
      <c r="H254" s="27">
        <v>150.0</v>
      </c>
      <c r="I254" s="28">
        <v>2810550.0</v>
      </c>
      <c r="J254" s="29">
        <f t="shared" si="2"/>
        <v>18737</v>
      </c>
      <c r="K254" s="30">
        <f t="shared" ref="K254:L254" si="252">H254/12</f>
        <v>12.5</v>
      </c>
      <c r="L254" s="31">
        <f t="shared" si="252"/>
        <v>234212.5</v>
      </c>
      <c r="M254" s="32">
        <v>39.0</v>
      </c>
      <c r="N254" s="33">
        <f t="shared" si="4"/>
        <v>37.5</v>
      </c>
      <c r="O254" s="34">
        <f t="shared" si="5"/>
        <v>-1.5</v>
      </c>
      <c r="P254" s="35" t="str">
        <f t="shared" si="6"/>
        <v/>
      </c>
      <c r="Q254" s="36"/>
      <c r="R254" s="14"/>
      <c r="S254" s="14"/>
      <c r="T254" s="14"/>
      <c r="U254" s="14"/>
      <c r="V254" s="14"/>
      <c r="W254" s="14"/>
      <c r="X254" s="14"/>
      <c r="Y254" s="14"/>
      <c r="Z254" s="14"/>
    </row>
    <row r="255" ht="12.75" customHeight="1">
      <c r="A255" s="26" t="s">
        <v>284</v>
      </c>
      <c r="B255" s="26" t="s">
        <v>19</v>
      </c>
      <c r="C255" s="26" t="s">
        <v>20</v>
      </c>
      <c r="D255" s="27">
        <v>4.0</v>
      </c>
      <c r="E255" s="28">
        <v>2790000.0</v>
      </c>
      <c r="F255" s="27">
        <v>0.0</v>
      </c>
      <c r="G255" s="28">
        <v>0.0</v>
      </c>
      <c r="H255" s="27">
        <v>4.0</v>
      </c>
      <c r="I255" s="28">
        <v>2790000.0</v>
      </c>
      <c r="J255" s="29">
        <f t="shared" si="2"/>
        <v>697500</v>
      </c>
      <c r="K255" s="30">
        <f t="shared" ref="K255:L255" si="253">H255/12</f>
        <v>0.3333333333</v>
      </c>
      <c r="L255" s="31">
        <f t="shared" si="253"/>
        <v>232500</v>
      </c>
      <c r="M255" s="32">
        <v>0.0</v>
      </c>
      <c r="N255" s="33">
        <f t="shared" si="4"/>
        <v>1</v>
      </c>
      <c r="O255" s="34">
        <f t="shared" si="5"/>
        <v>1</v>
      </c>
      <c r="P255" s="35">
        <f t="shared" si="6"/>
        <v>1</v>
      </c>
      <c r="Q255" s="36"/>
      <c r="R255" s="14"/>
      <c r="S255" s="14"/>
      <c r="T255" s="14"/>
      <c r="U255" s="14"/>
      <c r="V255" s="14"/>
      <c r="W255" s="14"/>
      <c r="X255" s="14"/>
      <c r="Y255" s="14"/>
      <c r="Z255" s="14"/>
    </row>
    <row r="256" ht="12.75" customHeight="1">
      <c r="A256" s="26" t="s">
        <v>285</v>
      </c>
      <c r="B256" s="26" t="s">
        <v>22</v>
      </c>
      <c r="C256" s="26" t="s">
        <v>20</v>
      </c>
      <c r="D256" s="27">
        <v>2.0</v>
      </c>
      <c r="E256" s="28">
        <v>2730000.0</v>
      </c>
      <c r="F256" s="27">
        <v>0.0</v>
      </c>
      <c r="G256" s="28">
        <v>0.0</v>
      </c>
      <c r="H256" s="27">
        <v>2.0</v>
      </c>
      <c r="I256" s="28">
        <v>2730000.0</v>
      </c>
      <c r="J256" s="29">
        <f t="shared" si="2"/>
        <v>1365000</v>
      </c>
      <c r="K256" s="30">
        <f t="shared" ref="K256:L256" si="254">H256/12</f>
        <v>0.1666666667</v>
      </c>
      <c r="L256" s="31">
        <f t="shared" si="254"/>
        <v>227500</v>
      </c>
      <c r="M256" s="32">
        <v>0.0</v>
      </c>
      <c r="N256" s="33">
        <f t="shared" si="4"/>
        <v>0.5</v>
      </c>
      <c r="O256" s="34">
        <f t="shared" si="5"/>
        <v>0.5</v>
      </c>
      <c r="P256" s="35">
        <f t="shared" si="6"/>
        <v>0.5</v>
      </c>
      <c r="Q256" s="36"/>
      <c r="R256" s="14"/>
      <c r="S256" s="14"/>
      <c r="T256" s="14"/>
      <c r="U256" s="14"/>
      <c r="V256" s="14"/>
      <c r="W256" s="14"/>
      <c r="X256" s="14"/>
      <c r="Y256" s="14"/>
      <c r="Z256" s="14"/>
    </row>
    <row r="257" ht="12.75" customHeight="1">
      <c r="A257" s="26" t="s">
        <v>286</v>
      </c>
      <c r="B257" s="26" t="s">
        <v>48</v>
      </c>
      <c r="C257" s="26" t="s">
        <v>20</v>
      </c>
      <c r="D257" s="27">
        <v>2.0</v>
      </c>
      <c r="E257" s="28">
        <v>2730000.0</v>
      </c>
      <c r="F257" s="27">
        <v>0.0</v>
      </c>
      <c r="G257" s="28">
        <v>0.0</v>
      </c>
      <c r="H257" s="27">
        <v>2.0</v>
      </c>
      <c r="I257" s="28">
        <v>2730000.0</v>
      </c>
      <c r="J257" s="29">
        <f t="shared" si="2"/>
        <v>1365000</v>
      </c>
      <c r="K257" s="30">
        <f t="shared" ref="K257:L257" si="255">H257/12</f>
        <v>0.1666666667</v>
      </c>
      <c r="L257" s="31">
        <f t="shared" si="255"/>
        <v>227500</v>
      </c>
      <c r="M257" s="37">
        <v>0.0</v>
      </c>
      <c r="N257" s="33">
        <f t="shared" si="4"/>
        <v>0.5</v>
      </c>
      <c r="O257" s="34">
        <f t="shared" si="5"/>
        <v>0.5</v>
      </c>
      <c r="P257" s="35">
        <f t="shared" si="6"/>
        <v>0.5</v>
      </c>
      <c r="Q257" s="36"/>
      <c r="R257" s="14"/>
      <c r="S257" s="14"/>
      <c r="T257" s="14"/>
      <c r="U257" s="14"/>
      <c r="V257" s="14"/>
      <c r="W257" s="14"/>
      <c r="X257" s="14"/>
      <c r="Y257" s="14"/>
      <c r="Z257" s="14"/>
    </row>
    <row r="258" ht="12.75" customHeight="1">
      <c r="A258" s="26" t="s">
        <v>287</v>
      </c>
      <c r="B258" s="26" t="s">
        <v>22</v>
      </c>
      <c r="C258" s="26" t="s">
        <v>20</v>
      </c>
      <c r="D258" s="27">
        <v>2.0</v>
      </c>
      <c r="E258" s="28">
        <v>2673000.0</v>
      </c>
      <c r="F258" s="27">
        <v>0.0</v>
      </c>
      <c r="G258" s="28">
        <v>0.0</v>
      </c>
      <c r="H258" s="27">
        <v>2.0</v>
      </c>
      <c r="I258" s="28">
        <v>2673000.0</v>
      </c>
      <c r="J258" s="29">
        <f t="shared" si="2"/>
        <v>1336500</v>
      </c>
      <c r="K258" s="30">
        <f t="shared" ref="K258:L258" si="256">H258/12</f>
        <v>0.1666666667</v>
      </c>
      <c r="L258" s="31">
        <f t="shared" si="256"/>
        <v>222750</v>
      </c>
      <c r="M258" s="32">
        <v>0.0</v>
      </c>
      <c r="N258" s="33">
        <f t="shared" si="4"/>
        <v>0.5</v>
      </c>
      <c r="O258" s="34">
        <f t="shared" si="5"/>
        <v>0.5</v>
      </c>
      <c r="P258" s="35">
        <f t="shared" si="6"/>
        <v>0.5</v>
      </c>
      <c r="Q258" s="36"/>
      <c r="R258" s="14"/>
      <c r="S258" s="14"/>
      <c r="T258" s="14"/>
      <c r="U258" s="14"/>
      <c r="V258" s="14"/>
      <c r="W258" s="14"/>
      <c r="X258" s="14"/>
      <c r="Y258" s="14"/>
      <c r="Z258" s="14"/>
    </row>
    <row r="259" ht="12.75" customHeight="1">
      <c r="A259" s="26" t="s">
        <v>288</v>
      </c>
      <c r="B259" s="26" t="s">
        <v>169</v>
      </c>
      <c r="C259" s="26" t="s">
        <v>36</v>
      </c>
      <c r="D259" s="27">
        <v>75.0</v>
      </c>
      <c r="E259" s="28">
        <v>2585000.0</v>
      </c>
      <c r="F259" s="27">
        <v>0.0</v>
      </c>
      <c r="G259" s="28">
        <v>0.0</v>
      </c>
      <c r="H259" s="27">
        <v>75.0</v>
      </c>
      <c r="I259" s="28">
        <v>2585000.0</v>
      </c>
      <c r="J259" s="29">
        <f t="shared" si="2"/>
        <v>34466.66667</v>
      </c>
      <c r="K259" s="30">
        <f t="shared" ref="K259:L259" si="257">H259/12</f>
        <v>6.25</v>
      </c>
      <c r="L259" s="31">
        <f t="shared" si="257"/>
        <v>215416.6667</v>
      </c>
      <c r="M259" s="32">
        <v>414.0</v>
      </c>
      <c r="N259" s="33">
        <f t="shared" si="4"/>
        <v>18.75</v>
      </c>
      <c r="O259" s="34">
        <f t="shared" si="5"/>
        <v>-395.25</v>
      </c>
      <c r="P259" s="35" t="str">
        <f t="shared" si="6"/>
        <v/>
      </c>
      <c r="Q259" s="36"/>
      <c r="R259" s="14"/>
      <c r="S259" s="14"/>
      <c r="T259" s="14"/>
      <c r="U259" s="14"/>
      <c r="V259" s="14"/>
      <c r="W259" s="14"/>
      <c r="X259" s="14"/>
      <c r="Y259" s="14"/>
      <c r="Z259" s="14"/>
    </row>
    <row r="260" ht="12.75" customHeight="1">
      <c r="A260" s="26" t="s">
        <v>289</v>
      </c>
      <c r="B260" s="26" t="s">
        <v>22</v>
      </c>
      <c r="C260" s="26" t="s">
        <v>20</v>
      </c>
      <c r="D260" s="27">
        <v>2.0</v>
      </c>
      <c r="E260" s="28">
        <v>2540000.0</v>
      </c>
      <c r="F260" s="27">
        <v>0.0</v>
      </c>
      <c r="G260" s="28">
        <v>0.0</v>
      </c>
      <c r="H260" s="27">
        <v>2.0</v>
      </c>
      <c r="I260" s="28">
        <v>2540000.0</v>
      </c>
      <c r="J260" s="29">
        <f t="shared" si="2"/>
        <v>1270000</v>
      </c>
      <c r="K260" s="30">
        <f t="shared" ref="K260:L260" si="258">H260/12</f>
        <v>0.1666666667</v>
      </c>
      <c r="L260" s="31">
        <f t="shared" si="258"/>
        <v>211666.6667</v>
      </c>
      <c r="M260" s="37">
        <v>0.0</v>
      </c>
      <c r="N260" s="33">
        <f t="shared" si="4"/>
        <v>0.5</v>
      </c>
      <c r="O260" s="34">
        <f t="shared" si="5"/>
        <v>0.5</v>
      </c>
      <c r="P260" s="35">
        <f t="shared" si="6"/>
        <v>0.5</v>
      </c>
      <c r="Q260" s="36"/>
      <c r="R260" s="14"/>
      <c r="S260" s="14"/>
      <c r="T260" s="14"/>
      <c r="U260" s="14"/>
      <c r="V260" s="14"/>
      <c r="W260" s="14"/>
      <c r="X260" s="14"/>
      <c r="Y260" s="14"/>
      <c r="Z260" s="14"/>
    </row>
    <row r="261" ht="12.75" customHeight="1">
      <c r="A261" s="26" t="s">
        <v>290</v>
      </c>
      <c r="B261" s="26" t="s">
        <v>169</v>
      </c>
      <c r="C261" s="26" t="s">
        <v>36</v>
      </c>
      <c r="D261" s="27">
        <v>70.0</v>
      </c>
      <c r="E261" s="28">
        <v>2384750.0</v>
      </c>
      <c r="F261" s="27">
        <v>0.0</v>
      </c>
      <c r="G261" s="28">
        <v>0.0</v>
      </c>
      <c r="H261" s="27">
        <v>70.0</v>
      </c>
      <c r="I261" s="28">
        <v>2384750.0</v>
      </c>
      <c r="J261" s="29">
        <f t="shared" si="2"/>
        <v>34067.85714</v>
      </c>
      <c r="K261" s="30">
        <f t="shared" ref="K261:L261" si="259">H261/12</f>
        <v>5.833333333</v>
      </c>
      <c r="L261" s="31">
        <f t="shared" si="259"/>
        <v>198729.1667</v>
      </c>
      <c r="M261" s="32">
        <v>85.0</v>
      </c>
      <c r="N261" s="33">
        <f t="shared" si="4"/>
        <v>17.5</v>
      </c>
      <c r="O261" s="34">
        <f t="shared" si="5"/>
        <v>-67.5</v>
      </c>
      <c r="P261" s="35" t="str">
        <f t="shared" si="6"/>
        <v/>
      </c>
      <c r="Q261" s="36"/>
      <c r="R261" s="14"/>
      <c r="S261" s="14"/>
      <c r="T261" s="14"/>
      <c r="U261" s="14"/>
      <c r="V261" s="14"/>
      <c r="W261" s="14"/>
      <c r="X261" s="14"/>
      <c r="Y261" s="14"/>
      <c r="Z261" s="14"/>
    </row>
    <row r="262" ht="12.75" customHeight="1">
      <c r="A262" s="26" t="s">
        <v>291</v>
      </c>
      <c r="B262" s="26" t="s">
        <v>31</v>
      </c>
      <c r="C262" s="26" t="s">
        <v>20</v>
      </c>
      <c r="D262" s="27">
        <v>2.0</v>
      </c>
      <c r="E262" s="28">
        <v>2364000.0</v>
      </c>
      <c r="F262" s="27">
        <v>0.0</v>
      </c>
      <c r="G262" s="28">
        <v>0.0</v>
      </c>
      <c r="H262" s="27">
        <v>2.0</v>
      </c>
      <c r="I262" s="28">
        <v>2364000.0</v>
      </c>
      <c r="J262" s="29">
        <f t="shared" si="2"/>
        <v>1182000</v>
      </c>
      <c r="K262" s="30">
        <f t="shared" ref="K262:L262" si="260">H262/12</f>
        <v>0.1666666667</v>
      </c>
      <c r="L262" s="31">
        <f t="shared" si="260"/>
        <v>197000</v>
      </c>
      <c r="M262" s="37">
        <v>0.0</v>
      </c>
      <c r="N262" s="33">
        <f t="shared" si="4"/>
        <v>0.5</v>
      </c>
      <c r="O262" s="34">
        <f t="shared" si="5"/>
        <v>0.5</v>
      </c>
      <c r="P262" s="35">
        <f t="shared" si="6"/>
        <v>0.5</v>
      </c>
      <c r="Q262" s="36"/>
      <c r="R262" s="14"/>
      <c r="S262" s="14"/>
      <c r="T262" s="14"/>
      <c r="U262" s="14"/>
      <c r="V262" s="14"/>
      <c r="W262" s="14"/>
      <c r="X262" s="14"/>
      <c r="Y262" s="14"/>
      <c r="Z262" s="14"/>
    </row>
    <row r="263" ht="12.75" customHeight="1">
      <c r="A263" s="26" t="s">
        <v>292</v>
      </c>
      <c r="B263" s="26" t="s">
        <v>31</v>
      </c>
      <c r="C263" s="26" t="s">
        <v>20</v>
      </c>
      <c r="D263" s="27">
        <v>2.0</v>
      </c>
      <c r="E263" s="28">
        <v>2176000.0</v>
      </c>
      <c r="F263" s="27">
        <v>0.0</v>
      </c>
      <c r="G263" s="28">
        <v>0.0</v>
      </c>
      <c r="H263" s="27">
        <v>2.0</v>
      </c>
      <c r="I263" s="28">
        <v>2176000.0</v>
      </c>
      <c r="J263" s="29">
        <f t="shared" si="2"/>
        <v>1088000</v>
      </c>
      <c r="K263" s="30">
        <f t="shared" ref="K263:L263" si="261">H263/12</f>
        <v>0.1666666667</v>
      </c>
      <c r="L263" s="31">
        <f t="shared" si="261"/>
        <v>181333.3333</v>
      </c>
      <c r="M263" s="37">
        <v>0.0</v>
      </c>
      <c r="N263" s="33">
        <f t="shared" si="4"/>
        <v>0.5</v>
      </c>
      <c r="O263" s="34">
        <f t="shared" si="5"/>
        <v>0.5</v>
      </c>
      <c r="P263" s="35">
        <f t="shared" si="6"/>
        <v>0.5</v>
      </c>
      <c r="Q263" s="36"/>
      <c r="R263" s="14"/>
      <c r="S263" s="14"/>
      <c r="T263" s="14"/>
      <c r="U263" s="14"/>
      <c r="V263" s="14"/>
      <c r="W263" s="14"/>
      <c r="X263" s="14"/>
      <c r="Y263" s="14"/>
      <c r="Z263" s="14"/>
    </row>
    <row r="264" ht="12.75" customHeight="1">
      <c r="A264" s="26" t="s">
        <v>293</v>
      </c>
      <c r="B264" s="26" t="s">
        <v>31</v>
      </c>
      <c r="C264" s="26" t="s">
        <v>20</v>
      </c>
      <c r="D264" s="27">
        <v>1.0</v>
      </c>
      <c r="E264" s="28">
        <v>2110000.0</v>
      </c>
      <c r="F264" s="27">
        <v>0.0</v>
      </c>
      <c r="G264" s="28">
        <v>0.0</v>
      </c>
      <c r="H264" s="27">
        <v>1.0</v>
      </c>
      <c r="I264" s="28">
        <v>2110000.0</v>
      </c>
      <c r="J264" s="29">
        <f t="shared" si="2"/>
        <v>2110000</v>
      </c>
      <c r="K264" s="30">
        <f t="shared" ref="K264:L264" si="262">H264/12</f>
        <v>0.08333333333</v>
      </c>
      <c r="L264" s="31">
        <f t="shared" si="262"/>
        <v>175833.3333</v>
      </c>
      <c r="M264" s="32">
        <v>0.0</v>
      </c>
      <c r="N264" s="33">
        <f t="shared" si="4"/>
        <v>0.25</v>
      </c>
      <c r="O264" s="34">
        <f t="shared" si="5"/>
        <v>0.25</v>
      </c>
      <c r="P264" s="35">
        <f t="shared" si="6"/>
        <v>0.25</v>
      </c>
      <c r="Q264" s="36"/>
      <c r="R264" s="14"/>
      <c r="S264" s="14"/>
      <c r="T264" s="14"/>
      <c r="U264" s="14"/>
      <c r="V264" s="14"/>
      <c r="W264" s="14"/>
      <c r="X264" s="14"/>
      <c r="Y264" s="14"/>
      <c r="Z264" s="14"/>
    </row>
    <row r="265" ht="12.75" customHeight="1">
      <c r="A265" s="26" t="s">
        <v>294</v>
      </c>
      <c r="B265" s="26" t="s">
        <v>48</v>
      </c>
      <c r="C265" s="26" t="s">
        <v>20</v>
      </c>
      <c r="D265" s="27">
        <v>1.0</v>
      </c>
      <c r="E265" s="28">
        <v>2050000.0</v>
      </c>
      <c r="F265" s="27">
        <v>0.0</v>
      </c>
      <c r="G265" s="28">
        <v>0.0</v>
      </c>
      <c r="H265" s="27">
        <v>1.0</v>
      </c>
      <c r="I265" s="28">
        <v>2050000.0</v>
      </c>
      <c r="J265" s="29">
        <f t="shared" si="2"/>
        <v>2050000</v>
      </c>
      <c r="K265" s="30">
        <f t="shared" ref="K265:L265" si="263">H265/12</f>
        <v>0.08333333333</v>
      </c>
      <c r="L265" s="31">
        <f t="shared" si="263"/>
        <v>170833.3333</v>
      </c>
      <c r="M265" s="37">
        <v>0.0</v>
      </c>
      <c r="N265" s="33">
        <f t="shared" si="4"/>
        <v>0.25</v>
      </c>
      <c r="O265" s="34">
        <f t="shared" si="5"/>
        <v>0.25</v>
      </c>
      <c r="P265" s="35">
        <f t="shared" si="6"/>
        <v>0.25</v>
      </c>
      <c r="Q265" s="36"/>
      <c r="R265" s="14"/>
      <c r="S265" s="14"/>
      <c r="T265" s="14"/>
      <c r="U265" s="14"/>
      <c r="V265" s="14"/>
      <c r="W265" s="14"/>
      <c r="X265" s="14"/>
      <c r="Y265" s="14"/>
      <c r="Z265" s="14"/>
    </row>
    <row r="266" ht="12.75" customHeight="1">
      <c r="A266" s="26" t="s">
        <v>295</v>
      </c>
      <c r="B266" s="26" t="s">
        <v>48</v>
      </c>
      <c r="C266" s="26" t="s">
        <v>20</v>
      </c>
      <c r="D266" s="27">
        <v>2.0</v>
      </c>
      <c r="E266" s="28">
        <v>2030000.0</v>
      </c>
      <c r="F266" s="27">
        <v>0.0</v>
      </c>
      <c r="G266" s="28">
        <v>0.0</v>
      </c>
      <c r="H266" s="27">
        <v>2.0</v>
      </c>
      <c r="I266" s="28">
        <v>2030000.0</v>
      </c>
      <c r="J266" s="29">
        <f t="shared" si="2"/>
        <v>1015000</v>
      </c>
      <c r="K266" s="30">
        <f t="shared" ref="K266:L266" si="264">H266/12</f>
        <v>0.1666666667</v>
      </c>
      <c r="L266" s="31">
        <f t="shared" si="264"/>
        <v>169166.6667</v>
      </c>
      <c r="M266" s="37">
        <v>0.0</v>
      </c>
      <c r="N266" s="33">
        <f t="shared" si="4"/>
        <v>0.5</v>
      </c>
      <c r="O266" s="34">
        <f t="shared" si="5"/>
        <v>0.5</v>
      </c>
      <c r="P266" s="35">
        <f t="shared" si="6"/>
        <v>0.5</v>
      </c>
      <c r="Q266" s="36"/>
      <c r="R266" s="14"/>
      <c r="S266" s="14"/>
      <c r="T266" s="14"/>
      <c r="U266" s="14"/>
      <c r="V266" s="14"/>
      <c r="W266" s="14"/>
      <c r="X266" s="14"/>
      <c r="Y266" s="14"/>
      <c r="Z266" s="14"/>
    </row>
    <row r="267" ht="12.75" customHeight="1">
      <c r="A267" s="26" t="s">
        <v>296</v>
      </c>
      <c r="B267" s="26" t="s">
        <v>169</v>
      </c>
      <c r="C267" s="26" t="s">
        <v>36</v>
      </c>
      <c r="D267" s="27">
        <v>1.0</v>
      </c>
      <c r="E267" s="28">
        <v>2000000.0</v>
      </c>
      <c r="F267" s="27">
        <v>0.0</v>
      </c>
      <c r="G267" s="28">
        <v>0.0</v>
      </c>
      <c r="H267" s="27">
        <v>1.0</v>
      </c>
      <c r="I267" s="28">
        <v>2000000.0</v>
      </c>
      <c r="J267" s="29">
        <f t="shared" si="2"/>
        <v>2000000</v>
      </c>
      <c r="K267" s="30">
        <f t="shared" ref="K267:L267" si="265">H267/12</f>
        <v>0.08333333333</v>
      </c>
      <c r="L267" s="31">
        <f t="shared" si="265"/>
        <v>166666.6667</v>
      </c>
      <c r="M267" s="32">
        <v>0.0</v>
      </c>
      <c r="N267" s="33">
        <f t="shared" si="4"/>
        <v>0.25</v>
      </c>
      <c r="O267" s="34">
        <f t="shared" si="5"/>
        <v>0.25</v>
      </c>
      <c r="P267" s="35">
        <f t="shared" si="6"/>
        <v>0.25</v>
      </c>
      <c r="Q267" s="36"/>
      <c r="R267" s="14"/>
      <c r="S267" s="14"/>
      <c r="T267" s="14"/>
      <c r="U267" s="14"/>
      <c r="V267" s="14"/>
      <c r="W267" s="14"/>
      <c r="X267" s="14"/>
      <c r="Y267" s="14"/>
      <c r="Z267" s="14"/>
    </row>
    <row r="268" ht="12.75" customHeight="1">
      <c r="A268" s="26" t="s">
        <v>297</v>
      </c>
      <c r="B268" s="26" t="s">
        <v>169</v>
      </c>
      <c r="C268" s="26" t="s">
        <v>203</v>
      </c>
      <c r="D268" s="27">
        <v>66.0</v>
      </c>
      <c r="E268" s="28">
        <v>1962000.0</v>
      </c>
      <c r="F268" s="27">
        <v>0.0</v>
      </c>
      <c r="G268" s="28">
        <v>0.0</v>
      </c>
      <c r="H268" s="27">
        <v>66.0</v>
      </c>
      <c r="I268" s="28">
        <v>1962000.0</v>
      </c>
      <c r="J268" s="29">
        <f t="shared" si="2"/>
        <v>29727.27273</v>
      </c>
      <c r="K268" s="30">
        <f t="shared" ref="K268:L268" si="266">H268/12</f>
        <v>5.5</v>
      </c>
      <c r="L268" s="31">
        <f t="shared" si="266"/>
        <v>163500</v>
      </c>
      <c r="M268" s="37">
        <v>224.0</v>
      </c>
      <c r="N268" s="33">
        <f t="shared" si="4"/>
        <v>16.5</v>
      </c>
      <c r="O268" s="34">
        <f t="shared" si="5"/>
        <v>-207.5</v>
      </c>
      <c r="P268" s="35" t="str">
        <f t="shared" si="6"/>
        <v/>
      </c>
      <c r="Q268" s="36"/>
      <c r="R268" s="14"/>
      <c r="S268" s="14"/>
      <c r="T268" s="14"/>
      <c r="U268" s="14"/>
      <c r="V268" s="14"/>
      <c r="W268" s="14"/>
      <c r="X268" s="14"/>
      <c r="Y268" s="14"/>
      <c r="Z268" s="14"/>
    </row>
    <row r="269" ht="12.75" customHeight="1">
      <c r="A269" s="26" t="s">
        <v>298</v>
      </c>
      <c r="B269" s="26" t="s">
        <v>194</v>
      </c>
      <c r="C269" s="26" t="s">
        <v>20</v>
      </c>
      <c r="D269" s="27">
        <v>1.0</v>
      </c>
      <c r="E269" s="28">
        <v>1960000.0</v>
      </c>
      <c r="F269" s="27">
        <v>0.0</v>
      </c>
      <c r="G269" s="28">
        <v>0.0</v>
      </c>
      <c r="H269" s="27">
        <v>1.0</v>
      </c>
      <c r="I269" s="28">
        <v>1960000.0</v>
      </c>
      <c r="J269" s="29">
        <f t="shared" si="2"/>
        <v>1960000</v>
      </c>
      <c r="K269" s="30">
        <f t="shared" ref="K269:L269" si="267">H269/12</f>
        <v>0.08333333333</v>
      </c>
      <c r="L269" s="31">
        <f t="shared" si="267"/>
        <v>163333.3333</v>
      </c>
      <c r="M269" s="37">
        <v>0.0</v>
      </c>
      <c r="N269" s="33">
        <f t="shared" si="4"/>
        <v>0.25</v>
      </c>
      <c r="O269" s="34">
        <f t="shared" si="5"/>
        <v>0.25</v>
      </c>
      <c r="P269" s="35">
        <f t="shared" si="6"/>
        <v>0.25</v>
      </c>
      <c r="Q269" s="36"/>
      <c r="R269" s="14"/>
      <c r="S269" s="14"/>
      <c r="T269" s="14"/>
      <c r="U269" s="14"/>
      <c r="V269" s="14"/>
      <c r="W269" s="14"/>
      <c r="X269" s="14"/>
      <c r="Y269" s="14"/>
      <c r="Z269" s="14"/>
    </row>
    <row r="270" ht="12.75" customHeight="1">
      <c r="A270" s="26" t="s">
        <v>299</v>
      </c>
      <c r="B270" s="26" t="s">
        <v>22</v>
      </c>
      <c r="C270" s="26" t="s">
        <v>20</v>
      </c>
      <c r="D270" s="27">
        <v>2.0</v>
      </c>
      <c r="E270" s="28">
        <v>1950000.0</v>
      </c>
      <c r="F270" s="27">
        <v>0.0</v>
      </c>
      <c r="G270" s="28">
        <v>0.0</v>
      </c>
      <c r="H270" s="27">
        <v>2.0</v>
      </c>
      <c r="I270" s="28">
        <v>1950000.0</v>
      </c>
      <c r="J270" s="29">
        <f t="shared" si="2"/>
        <v>975000</v>
      </c>
      <c r="K270" s="30">
        <f t="shared" ref="K270:L270" si="268">H270/12</f>
        <v>0.1666666667</v>
      </c>
      <c r="L270" s="31">
        <f t="shared" si="268"/>
        <v>162500</v>
      </c>
      <c r="M270" s="37">
        <v>0.0</v>
      </c>
      <c r="N270" s="33">
        <f t="shared" si="4"/>
        <v>0.5</v>
      </c>
      <c r="O270" s="34">
        <f t="shared" si="5"/>
        <v>0.5</v>
      </c>
      <c r="P270" s="35">
        <f t="shared" si="6"/>
        <v>0.5</v>
      </c>
      <c r="Q270" s="36"/>
      <c r="R270" s="14"/>
      <c r="S270" s="14"/>
      <c r="T270" s="14"/>
      <c r="U270" s="14"/>
      <c r="V270" s="14"/>
      <c r="W270" s="14"/>
      <c r="X270" s="14"/>
      <c r="Y270" s="14"/>
      <c r="Z270" s="14"/>
    </row>
    <row r="271" ht="12.75" customHeight="1">
      <c r="A271" s="26" t="s">
        <v>300</v>
      </c>
      <c r="B271" s="26" t="s">
        <v>56</v>
      </c>
      <c r="C271" s="26" t="s">
        <v>20</v>
      </c>
      <c r="D271" s="27">
        <v>2.0</v>
      </c>
      <c r="E271" s="28">
        <v>1940000.0</v>
      </c>
      <c r="F271" s="27">
        <v>0.0</v>
      </c>
      <c r="G271" s="28">
        <v>0.0</v>
      </c>
      <c r="H271" s="27">
        <v>2.0</v>
      </c>
      <c r="I271" s="28">
        <v>1940000.0</v>
      </c>
      <c r="J271" s="29">
        <f t="shared" si="2"/>
        <v>970000</v>
      </c>
      <c r="K271" s="30">
        <f t="shared" ref="K271:L271" si="269">H271/12</f>
        <v>0.1666666667</v>
      </c>
      <c r="L271" s="31">
        <f t="shared" si="269"/>
        <v>161666.6667</v>
      </c>
      <c r="M271" s="32">
        <v>0.0</v>
      </c>
      <c r="N271" s="33">
        <f t="shared" si="4"/>
        <v>0.5</v>
      </c>
      <c r="O271" s="34">
        <f t="shared" si="5"/>
        <v>0.5</v>
      </c>
      <c r="P271" s="35">
        <f t="shared" si="6"/>
        <v>0.5</v>
      </c>
      <c r="Q271" s="36"/>
      <c r="R271" s="14"/>
      <c r="S271" s="14"/>
      <c r="T271" s="14"/>
      <c r="U271" s="14"/>
      <c r="V271" s="14"/>
      <c r="W271" s="14"/>
      <c r="X271" s="14"/>
      <c r="Y271" s="14"/>
      <c r="Z271" s="14"/>
    </row>
    <row r="272" ht="12.75" customHeight="1">
      <c r="A272" s="26" t="s">
        <v>301</v>
      </c>
      <c r="B272" s="26" t="s">
        <v>25</v>
      </c>
      <c r="C272" s="26" t="s">
        <v>20</v>
      </c>
      <c r="D272" s="27">
        <v>3.0</v>
      </c>
      <c r="E272" s="28">
        <v>1853800.0</v>
      </c>
      <c r="F272" s="27">
        <v>0.0</v>
      </c>
      <c r="G272" s="28">
        <v>0.0</v>
      </c>
      <c r="H272" s="27">
        <v>3.0</v>
      </c>
      <c r="I272" s="28">
        <v>1853800.0</v>
      </c>
      <c r="J272" s="29">
        <f t="shared" si="2"/>
        <v>617933.3333</v>
      </c>
      <c r="K272" s="30">
        <f t="shared" ref="K272:L272" si="270">H272/12</f>
        <v>0.25</v>
      </c>
      <c r="L272" s="31">
        <f t="shared" si="270"/>
        <v>154483.3333</v>
      </c>
      <c r="M272" s="32">
        <v>0.0</v>
      </c>
      <c r="N272" s="33">
        <f t="shared" si="4"/>
        <v>0.75</v>
      </c>
      <c r="O272" s="34">
        <f t="shared" si="5"/>
        <v>0.75</v>
      </c>
      <c r="P272" s="35">
        <f t="shared" si="6"/>
        <v>0.75</v>
      </c>
      <c r="Q272" s="36"/>
      <c r="R272" s="14"/>
      <c r="S272" s="14"/>
      <c r="T272" s="14"/>
      <c r="U272" s="14"/>
      <c r="V272" s="14"/>
      <c r="W272" s="14"/>
      <c r="X272" s="14"/>
      <c r="Y272" s="14"/>
      <c r="Z272" s="14"/>
    </row>
    <row r="273" ht="12.75" customHeight="1">
      <c r="A273" s="26" t="s">
        <v>302</v>
      </c>
      <c r="B273" s="26" t="s">
        <v>169</v>
      </c>
      <c r="C273" s="26" t="s">
        <v>36</v>
      </c>
      <c r="D273" s="27">
        <v>10.0</v>
      </c>
      <c r="E273" s="28">
        <v>1848100.0</v>
      </c>
      <c r="F273" s="27">
        <v>0.0</v>
      </c>
      <c r="G273" s="28">
        <v>0.0</v>
      </c>
      <c r="H273" s="27">
        <v>10.0</v>
      </c>
      <c r="I273" s="28">
        <v>1848100.0</v>
      </c>
      <c r="J273" s="29">
        <f t="shared" si="2"/>
        <v>184810</v>
      </c>
      <c r="K273" s="30">
        <f t="shared" ref="K273:L273" si="271">H273/12</f>
        <v>0.8333333333</v>
      </c>
      <c r="L273" s="31">
        <f t="shared" si="271"/>
        <v>154008.3333</v>
      </c>
      <c r="M273" s="32">
        <v>290.0</v>
      </c>
      <c r="N273" s="33">
        <f t="shared" si="4"/>
        <v>2.5</v>
      </c>
      <c r="O273" s="34">
        <f t="shared" si="5"/>
        <v>-287.5</v>
      </c>
      <c r="P273" s="35" t="str">
        <f t="shared" si="6"/>
        <v/>
      </c>
      <c r="Q273" s="36"/>
      <c r="R273" s="14"/>
      <c r="S273" s="14"/>
      <c r="T273" s="14"/>
      <c r="U273" s="14"/>
      <c r="V273" s="14"/>
      <c r="W273" s="14"/>
      <c r="X273" s="14"/>
      <c r="Y273" s="14"/>
      <c r="Z273" s="14"/>
    </row>
    <row r="274" ht="12.75" customHeight="1">
      <c r="A274" s="26" t="s">
        <v>303</v>
      </c>
      <c r="B274" s="26" t="s">
        <v>169</v>
      </c>
      <c r="C274" s="26" t="s">
        <v>36</v>
      </c>
      <c r="D274" s="27">
        <v>33.0</v>
      </c>
      <c r="E274" s="28">
        <v>1759250.0</v>
      </c>
      <c r="F274" s="27">
        <v>0.0</v>
      </c>
      <c r="G274" s="28">
        <v>0.0</v>
      </c>
      <c r="H274" s="27">
        <v>33.0</v>
      </c>
      <c r="I274" s="28">
        <v>1759250.0</v>
      </c>
      <c r="J274" s="29">
        <f t="shared" si="2"/>
        <v>53310.60606</v>
      </c>
      <c r="K274" s="30">
        <f t="shared" ref="K274:L274" si="272">H274/12</f>
        <v>2.75</v>
      </c>
      <c r="L274" s="31">
        <f t="shared" si="272"/>
        <v>146604.1667</v>
      </c>
      <c r="M274" s="37">
        <v>67.0</v>
      </c>
      <c r="N274" s="33">
        <f t="shared" si="4"/>
        <v>8.25</v>
      </c>
      <c r="O274" s="34">
        <f t="shared" si="5"/>
        <v>-58.75</v>
      </c>
      <c r="P274" s="35" t="str">
        <f t="shared" si="6"/>
        <v/>
      </c>
      <c r="Q274" s="36"/>
      <c r="R274" s="14"/>
      <c r="S274" s="14"/>
      <c r="T274" s="14"/>
      <c r="U274" s="14"/>
      <c r="V274" s="14"/>
      <c r="W274" s="14"/>
      <c r="X274" s="14"/>
      <c r="Y274" s="14"/>
      <c r="Z274" s="14"/>
    </row>
    <row r="275" ht="12.75" customHeight="1">
      <c r="A275" s="26" t="s">
        <v>304</v>
      </c>
      <c r="B275" s="26" t="s">
        <v>169</v>
      </c>
      <c r="C275" s="26" t="s">
        <v>36</v>
      </c>
      <c r="D275" s="27">
        <v>51.0</v>
      </c>
      <c r="E275" s="28">
        <v>1755950.0</v>
      </c>
      <c r="F275" s="27">
        <v>0.0</v>
      </c>
      <c r="G275" s="28">
        <v>0.0</v>
      </c>
      <c r="H275" s="27">
        <v>51.0</v>
      </c>
      <c r="I275" s="28">
        <v>1755950.0</v>
      </c>
      <c r="J275" s="29">
        <f t="shared" si="2"/>
        <v>34430.39216</v>
      </c>
      <c r="K275" s="30">
        <f t="shared" ref="K275:L275" si="273">H275/12</f>
        <v>4.25</v>
      </c>
      <c r="L275" s="31">
        <f t="shared" si="273"/>
        <v>146329.1667</v>
      </c>
      <c r="M275" s="32">
        <v>0.0</v>
      </c>
      <c r="N275" s="33">
        <f t="shared" si="4"/>
        <v>12.75</v>
      </c>
      <c r="O275" s="34">
        <f t="shared" si="5"/>
        <v>12.75</v>
      </c>
      <c r="P275" s="35">
        <f t="shared" si="6"/>
        <v>12.75</v>
      </c>
      <c r="Q275" s="36"/>
      <c r="R275" s="14"/>
      <c r="S275" s="14"/>
      <c r="T275" s="14"/>
      <c r="U275" s="14"/>
      <c r="V275" s="14"/>
      <c r="W275" s="14"/>
      <c r="X275" s="14"/>
      <c r="Y275" s="14"/>
      <c r="Z275" s="14"/>
    </row>
    <row r="276" ht="12.75" customHeight="1">
      <c r="A276" s="26" t="s">
        <v>305</v>
      </c>
      <c r="B276" s="26" t="s">
        <v>19</v>
      </c>
      <c r="C276" s="26" t="s">
        <v>36</v>
      </c>
      <c r="D276" s="27">
        <v>2.0</v>
      </c>
      <c r="E276" s="28">
        <v>1620000.0</v>
      </c>
      <c r="F276" s="27">
        <v>0.0</v>
      </c>
      <c r="G276" s="28">
        <v>0.0</v>
      </c>
      <c r="H276" s="27">
        <v>2.0</v>
      </c>
      <c r="I276" s="28">
        <v>1620000.0</v>
      </c>
      <c r="J276" s="29">
        <f t="shared" si="2"/>
        <v>810000</v>
      </c>
      <c r="K276" s="30">
        <f t="shared" ref="K276:L276" si="274">H276/12</f>
        <v>0.1666666667</v>
      </c>
      <c r="L276" s="31">
        <f t="shared" si="274"/>
        <v>135000</v>
      </c>
      <c r="M276" s="37">
        <v>2.0</v>
      </c>
      <c r="N276" s="33">
        <f t="shared" si="4"/>
        <v>0.5</v>
      </c>
      <c r="O276" s="34">
        <f t="shared" si="5"/>
        <v>-1.5</v>
      </c>
      <c r="P276" s="35" t="str">
        <f t="shared" si="6"/>
        <v/>
      </c>
      <c r="Q276" s="36"/>
      <c r="R276" s="14"/>
      <c r="S276" s="14"/>
      <c r="T276" s="14"/>
      <c r="U276" s="14"/>
      <c r="V276" s="14"/>
      <c r="W276" s="14"/>
      <c r="X276" s="14"/>
      <c r="Y276" s="14"/>
      <c r="Z276" s="14"/>
    </row>
    <row r="277" ht="12.75" customHeight="1">
      <c r="A277" s="26" t="s">
        <v>306</v>
      </c>
      <c r="B277" s="26" t="s">
        <v>31</v>
      </c>
      <c r="C277" s="26" t="s">
        <v>20</v>
      </c>
      <c r="D277" s="27">
        <v>2.0</v>
      </c>
      <c r="E277" s="28">
        <v>1540000.0</v>
      </c>
      <c r="F277" s="27">
        <v>0.0</v>
      </c>
      <c r="G277" s="28">
        <v>0.0</v>
      </c>
      <c r="H277" s="27">
        <v>2.0</v>
      </c>
      <c r="I277" s="28">
        <v>1540000.0</v>
      </c>
      <c r="J277" s="29">
        <f t="shared" si="2"/>
        <v>770000</v>
      </c>
      <c r="K277" s="30">
        <f t="shared" ref="K277:L277" si="275">H277/12</f>
        <v>0.1666666667</v>
      </c>
      <c r="L277" s="31">
        <f t="shared" si="275"/>
        <v>128333.3333</v>
      </c>
      <c r="M277" s="32">
        <v>0.0</v>
      </c>
      <c r="N277" s="33">
        <f t="shared" si="4"/>
        <v>0.5</v>
      </c>
      <c r="O277" s="34">
        <f t="shared" si="5"/>
        <v>0.5</v>
      </c>
      <c r="P277" s="35">
        <f t="shared" si="6"/>
        <v>0.5</v>
      </c>
      <c r="Q277" s="36"/>
      <c r="R277" s="14"/>
      <c r="S277" s="14"/>
      <c r="T277" s="14"/>
      <c r="U277" s="14"/>
      <c r="V277" s="14"/>
      <c r="W277" s="14"/>
      <c r="X277" s="14"/>
      <c r="Y277" s="14"/>
      <c r="Z277" s="14"/>
    </row>
    <row r="278" ht="12.75" customHeight="1">
      <c r="A278" s="26" t="s">
        <v>307</v>
      </c>
      <c r="B278" s="26" t="s">
        <v>19</v>
      </c>
      <c r="C278" s="26" t="s">
        <v>20</v>
      </c>
      <c r="D278" s="27">
        <v>2.0</v>
      </c>
      <c r="E278" s="28">
        <v>1500000.0</v>
      </c>
      <c r="F278" s="27">
        <v>0.0</v>
      </c>
      <c r="G278" s="28">
        <v>0.0</v>
      </c>
      <c r="H278" s="27">
        <v>2.0</v>
      </c>
      <c r="I278" s="28">
        <v>1500000.0</v>
      </c>
      <c r="J278" s="29">
        <f t="shared" si="2"/>
        <v>750000</v>
      </c>
      <c r="K278" s="30">
        <f t="shared" ref="K278:L278" si="276">H278/12</f>
        <v>0.1666666667</v>
      </c>
      <c r="L278" s="31">
        <f t="shared" si="276"/>
        <v>125000</v>
      </c>
      <c r="M278" s="32">
        <v>0.0</v>
      </c>
      <c r="N278" s="33">
        <f t="shared" si="4"/>
        <v>0.5</v>
      </c>
      <c r="O278" s="34">
        <f t="shared" si="5"/>
        <v>0.5</v>
      </c>
      <c r="P278" s="35">
        <f t="shared" si="6"/>
        <v>0.5</v>
      </c>
      <c r="Q278" s="36"/>
      <c r="R278" s="14"/>
      <c r="S278" s="14"/>
      <c r="T278" s="14"/>
      <c r="U278" s="14"/>
      <c r="V278" s="14"/>
      <c r="W278" s="14"/>
      <c r="X278" s="14"/>
      <c r="Y278" s="14"/>
      <c r="Z278" s="14"/>
    </row>
    <row r="279" ht="12.75" customHeight="1">
      <c r="A279" s="26" t="s">
        <v>308</v>
      </c>
      <c r="B279" s="26" t="s">
        <v>309</v>
      </c>
      <c r="C279" s="26" t="s">
        <v>20</v>
      </c>
      <c r="D279" s="27">
        <v>1.0</v>
      </c>
      <c r="E279" s="28">
        <v>1462500.0</v>
      </c>
      <c r="F279" s="27">
        <v>0.0</v>
      </c>
      <c r="G279" s="28">
        <v>0.0</v>
      </c>
      <c r="H279" s="27">
        <v>1.0</v>
      </c>
      <c r="I279" s="28">
        <v>1462500.0</v>
      </c>
      <c r="J279" s="29">
        <f t="shared" si="2"/>
        <v>1462500</v>
      </c>
      <c r="K279" s="30">
        <f t="shared" ref="K279:L279" si="277">H279/12</f>
        <v>0.08333333333</v>
      </c>
      <c r="L279" s="31">
        <f t="shared" si="277"/>
        <v>121875</v>
      </c>
      <c r="M279" s="37">
        <v>0.0</v>
      </c>
      <c r="N279" s="33">
        <f t="shared" si="4"/>
        <v>0.25</v>
      </c>
      <c r="O279" s="34">
        <f t="shared" si="5"/>
        <v>0.25</v>
      </c>
      <c r="P279" s="35">
        <f t="shared" si="6"/>
        <v>0.25</v>
      </c>
      <c r="Q279" s="36"/>
      <c r="R279" s="14"/>
      <c r="S279" s="14"/>
      <c r="T279" s="14"/>
      <c r="U279" s="14"/>
      <c r="V279" s="14"/>
      <c r="W279" s="14"/>
      <c r="X279" s="14"/>
      <c r="Y279" s="14"/>
      <c r="Z279" s="14"/>
    </row>
    <row r="280" ht="12.75" customHeight="1">
      <c r="A280" s="26" t="s">
        <v>310</v>
      </c>
      <c r="B280" s="26" t="s">
        <v>22</v>
      </c>
      <c r="C280" s="26" t="s">
        <v>20</v>
      </c>
      <c r="D280" s="27">
        <v>1.0</v>
      </c>
      <c r="E280" s="28">
        <v>1425000.0</v>
      </c>
      <c r="F280" s="27">
        <v>0.0</v>
      </c>
      <c r="G280" s="28">
        <v>0.0</v>
      </c>
      <c r="H280" s="27">
        <v>1.0</v>
      </c>
      <c r="I280" s="28">
        <v>1425000.0</v>
      </c>
      <c r="J280" s="29">
        <f t="shared" si="2"/>
        <v>1425000</v>
      </c>
      <c r="K280" s="30">
        <f t="shared" ref="K280:L280" si="278">H280/12</f>
        <v>0.08333333333</v>
      </c>
      <c r="L280" s="31">
        <f t="shared" si="278"/>
        <v>118750</v>
      </c>
      <c r="M280" s="32">
        <v>0.0</v>
      </c>
      <c r="N280" s="33">
        <f t="shared" si="4"/>
        <v>0.25</v>
      </c>
      <c r="O280" s="34">
        <f t="shared" si="5"/>
        <v>0.25</v>
      </c>
      <c r="P280" s="35">
        <f t="shared" si="6"/>
        <v>0.25</v>
      </c>
      <c r="Q280" s="36"/>
      <c r="R280" s="14"/>
      <c r="S280" s="14"/>
      <c r="T280" s="14"/>
      <c r="U280" s="14"/>
      <c r="V280" s="14"/>
      <c r="W280" s="14"/>
      <c r="X280" s="14"/>
      <c r="Y280" s="14"/>
      <c r="Z280" s="14"/>
    </row>
    <row r="281" ht="12.75" customHeight="1">
      <c r="A281" s="26" t="s">
        <v>311</v>
      </c>
      <c r="B281" s="26" t="s">
        <v>169</v>
      </c>
      <c r="C281" s="26" t="s">
        <v>36</v>
      </c>
      <c r="D281" s="27">
        <v>43.0</v>
      </c>
      <c r="E281" s="28">
        <v>1408000.0</v>
      </c>
      <c r="F281" s="27">
        <v>0.0</v>
      </c>
      <c r="G281" s="28">
        <v>0.0</v>
      </c>
      <c r="H281" s="27">
        <v>43.0</v>
      </c>
      <c r="I281" s="28">
        <v>1408000.0</v>
      </c>
      <c r="J281" s="29">
        <f t="shared" si="2"/>
        <v>32744.18605</v>
      </c>
      <c r="K281" s="30">
        <f t="shared" ref="K281:L281" si="279">H281/12</f>
        <v>3.583333333</v>
      </c>
      <c r="L281" s="31">
        <f t="shared" si="279"/>
        <v>117333.3333</v>
      </c>
      <c r="M281" s="37">
        <v>286.0</v>
      </c>
      <c r="N281" s="33">
        <f t="shared" si="4"/>
        <v>10.75</v>
      </c>
      <c r="O281" s="34">
        <f t="shared" si="5"/>
        <v>-275.25</v>
      </c>
      <c r="P281" s="35" t="str">
        <f t="shared" si="6"/>
        <v/>
      </c>
      <c r="Q281" s="36"/>
      <c r="R281" s="14"/>
      <c r="S281" s="14"/>
      <c r="T281" s="14"/>
      <c r="U281" s="14"/>
      <c r="V281" s="14"/>
      <c r="W281" s="14"/>
      <c r="X281" s="14"/>
      <c r="Y281" s="14"/>
      <c r="Z281" s="14"/>
    </row>
    <row r="282" ht="12.75" customHeight="1">
      <c r="A282" s="26" t="s">
        <v>312</v>
      </c>
      <c r="B282" s="26" t="s">
        <v>19</v>
      </c>
      <c r="C282" s="26" t="s">
        <v>36</v>
      </c>
      <c r="D282" s="27">
        <v>2.0</v>
      </c>
      <c r="E282" s="28">
        <v>1400000.0</v>
      </c>
      <c r="F282" s="27">
        <v>0.0</v>
      </c>
      <c r="G282" s="28">
        <v>0.0</v>
      </c>
      <c r="H282" s="27">
        <v>2.0</v>
      </c>
      <c r="I282" s="28">
        <v>1400000.0</v>
      </c>
      <c r="J282" s="29">
        <f t="shared" si="2"/>
        <v>700000</v>
      </c>
      <c r="K282" s="30">
        <f t="shared" ref="K282:L282" si="280">H282/12</f>
        <v>0.1666666667</v>
      </c>
      <c r="L282" s="31">
        <f t="shared" si="280"/>
        <v>116666.6667</v>
      </c>
      <c r="M282" s="37">
        <v>0.0</v>
      </c>
      <c r="N282" s="33">
        <f t="shared" si="4"/>
        <v>0.5</v>
      </c>
      <c r="O282" s="34">
        <f t="shared" si="5"/>
        <v>0.5</v>
      </c>
      <c r="P282" s="35">
        <f t="shared" si="6"/>
        <v>0.5</v>
      </c>
      <c r="Q282" s="36"/>
      <c r="R282" s="14"/>
      <c r="S282" s="14"/>
      <c r="T282" s="14"/>
      <c r="U282" s="14"/>
      <c r="V282" s="14"/>
      <c r="W282" s="14"/>
      <c r="X282" s="14"/>
      <c r="Y282" s="14"/>
      <c r="Z282" s="14"/>
    </row>
    <row r="283" ht="12.75" customHeight="1">
      <c r="A283" s="26" t="s">
        <v>313</v>
      </c>
      <c r="B283" s="26" t="s">
        <v>48</v>
      </c>
      <c r="C283" s="26" t="s">
        <v>20</v>
      </c>
      <c r="D283" s="27">
        <v>1.0</v>
      </c>
      <c r="E283" s="28">
        <v>1400000.0</v>
      </c>
      <c r="F283" s="27">
        <v>0.0</v>
      </c>
      <c r="G283" s="28">
        <v>0.0</v>
      </c>
      <c r="H283" s="27">
        <v>1.0</v>
      </c>
      <c r="I283" s="28">
        <v>1400000.0</v>
      </c>
      <c r="J283" s="29">
        <f t="shared" si="2"/>
        <v>1400000</v>
      </c>
      <c r="K283" s="30">
        <f t="shared" ref="K283:L283" si="281">H283/12</f>
        <v>0.08333333333</v>
      </c>
      <c r="L283" s="31">
        <f t="shared" si="281"/>
        <v>116666.6667</v>
      </c>
      <c r="M283" s="32">
        <v>0.0</v>
      </c>
      <c r="N283" s="33">
        <f t="shared" si="4"/>
        <v>0.25</v>
      </c>
      <c r="O283" s="34">
        <f t="shared" si="5"/>
        <v>0.25</v>
      </c>
      <c r="P283" s="35">
        <f t="shared" si="6"/>
        <v>0.25</v>
      </c>
      <c r="Q283" s="36"/>
      <c r="R283" s="14"/>
      <c r="S283" s="14"/>
      <c r="T283" s="14"/>
      <c r="U283" s="14"/>
      <c r="V283" s="14"/>
      <c r="W283" s="14"/>
      <c r="X283" s="14"/>
      <c r="Y283" s="14"/>
      <c r="Z283" s="14"/>
    </row>
    <row r="284" ht="12.75" customHeight="1">
      <c r="A284" s="26" t="s">
        <v>314</v>
      </c>
      <c r="B284" s="26" t="s">
        <v>46</v>
      </c>
      <c r="C284" s="26" t="s">
        <v>20</v>
      </c>
      <c r="D284" s="27">
        <v>1.0</v>
      </c>
      <c r="E284" s="28">
        <v>1400000.0</v>
      </c>
      <c r="F284" s="27">
        <v>0.0</v>
      </c>
      <c r="G284" s="28">
        <v>0.0</v>
      </c>
      <c r="H284" s="27">
        <v>1.0</v>
      </c>
      <c r="I284" s="28">
        <v>1400000.0</v>
      </c>
      <c r="J284" s="29">
        <f t="shared" si="2"/>
        <v>1400000</v>
      </c>
      <c r="K284" s="30">
        <f t="shared" ref="K284:L284" si="282">H284/12</f>
        <v>0.08333333333</v>
      </c>
      <c r="L284" s="31">
        <f t="shared" si="282"/>
        <v>116666.6667</v>
      </c>
      <c r="M284" s="32">
        <v>0.0</v>
      </c>
      <c r="N284" s="33">
        <f t="shared" si="4"/>
        <v>0.25</v>
      </c>
      <c r="O284" s="34">
        <f t="shared" si="5"/>
        <v>0.25</v>
      </c>
      <c r="P284" s="35">
        <f t="shared" si="6"/>
        <v>0.25</v>
      </c>
      <c r="Q284" s="36"/>
      <c r="R284" s="14"/>
      <c r="S284" s="14"/>
      <c r="T284" s="14"/>
      <c r="U284" s="14"/>
      <c r="V284" s="14"/>
      <c r="W284" s="14"/>
      <c r="X284" s="14"/>
      <c r="Y284" s="14"/>
      <c r="Z284" s="14"/>
    </row>
    <row r="285" ht="12.75" customHeight="1">
      <c r="A285" s="26" t="s">
        <v>315</v>
      </c>
      <c r="B285" s="26" t="s">
        <v>31</v>
      </c>
      <c r="C285" s="26" t="s">
        <v>20</v>
      </c>
      <c r="D285" s="27">
        <v>2.0</v>
      </c>
      <c r="E285" s="28">
        <v>1400000.0</v>
      </c>
      <c r="F285" s="27">
        <v>0.0</v>
      </c>
      <c r="G285" s="28">
        <v>0.0</v>
      </c>
      <c r="H285" s="27">
        <v>2.0</v>
      </c>
      <c r="I285" s="28">
        <v>1400000.0</v>
      </c>
      <c r="J285" s="29">
        <f t="shared" si="2"/>
        <v>700000</v>
      </c>
      <c r="K285" s="30">
        <f t="shared" ref="K285:L285" si="283">H285/12</f>
        <v>0.1666666667</v>
      </c>
      <c r="L285" s="31">
        <f t="shared" si="283"/>
        <v>116666.6667</v>
      </c>
      <c r="M285" s="32">
        <v>0.0</v>
      </c>
      <c r="N285" s="33">
        <f t="shared" si="4"/>
        <v>0.5</v>
      </c>
      <c r="O285" s="34">
        <f t="shared" si="5"/>
        <v>0.5</v>
      </c>
      <c r="P285" s="35">
        <f t="shared" si="6"/>
        <v>0.5</v>
      </c>
      <c r="Q285" s="36"/>
      <c r="R285" s="14"/>
      <c r="S285" s="14"/>
      <c r="T285" s="14"/>
      <c r="U285" s="14"/>
      <c r="V285" s="14"/>
      <c r="W285" s="14"/>
      <c r="X285" s="14"/>
      <c r="Y285" s="14"/>
      <c r="Z285" s="14"/>
    </row>
    <row r="286" ht="12.75" customHeight="1">
      <c r="A286" s="26" t="s">
        <v>316</v>
      </c>
      <c r="B286" s="26" t="s">
        <v>169</v>
      </c>
      <c r="C286" s="26" t="s">
        <v>36</v>
      </c>
      <c r="D286" s="27">
        <v>27.0</v>
      </c>
      <c r="E286" s="28">
        <v>1366200.0</v>
      </c>
      <c r="F286" s="27">
        <v>0.0</v>
      </c>
      <c r="G286" s="28">
        <v>0.0</v>
      </c>
      <c r="H286" s="27">
        <v>27.0</v>
      </c>
      <c r="I286" s="28">
        <v>1366200.0</v>
      </c>
      <c r="J286" s="29">
        <f t="shared" si="2"/>
        <v>50600</v>
      </c>
      <c r="K286" s="30">
        <f t="shared" ref="K286:L286" si="284">H286/12</f>
        <v>2.25</v>
      </c>
      <c r="L286" s="31">
        <f t="shared" si="284"/>
        <v>113850</v>
      </c>
      <c r="M286" s="37">
        <v>0.0</v>
      </c>
      <c r="N286" s="33">
        <f t="shared" si="4"/>
        <v>6.75</v>
      </c>
      <c r="O286" s="34">
        <f t="shared" si="5"/>
        <v>6.75</v>
      </c>
      <c r="P286" s="35">
        <f t="shared" si="6"/>
        <v>6.75</v>
      </c>
      <c r="Q286" s="36"/>
      <c r="R286" s="14"/>
      <c r="S286" s="14"/>
      <c r="T286" s="14"/>
      <c r="U286" s="14"/>
      <c r="V286" s="14"/>
      <c r="W286" s="14"/>
      <c r="X286" s="14"/>
      <c r="Y286" s="14"/>
      <c r="Z286" s="14"/>
    </row>
    <row r="287" ht="12.75" customHeight="1">
      <c r="A287" s="26" t="s">
        <v>317</v>
      </c>
      <c r="B287" s="26" t="s">
        <v>22</v>
      </c>
      <c r="C287" s="26" t="s">
        <v>20</v>
      </c>
      <c r="D287" s="27">
        <v>1.0</v>
      </c>
      <c r="E287" s="28">
        <v>1365000.0</v>
      </c>
      <c r="F287" s="27">
        <v>0.0</v>
      </c>
      <c r="G287" s="28">
        <v>0.0</v>
      </c>
      <c r="H287" s="27">
        <v>1.0</v>
      </c>
      <c r="I287" s="28">
        <v>1365000.0</v>
      </c>
      <c r="J287" s="29">
        <f t="shared" si="2"/>
        <v>1365000</v>
      </c>
      <c r="K287" s="30">
        <f t="shared" ref="K287:L287" si="285">H287/12</f>
        <v>0.08333333333</v>
      </c>
      <c r="L287" s="31">
        <f t="shared" si="285"/>
        <v>113750</v>
      </c>
      <c r="M287" s="37">
        <v>0.0</v>
      </c>
      <c r="N287" s="33">
        <f t="shared" si="4"/>
        <v>0.25</v>
      </c>
      <c r="O287" s="34">
        <f t="shared" si="5"/>
        <v>0.25</v>
      </c>
      <c r="P287" s="35">
        <f t="shared" si="6"/>
        <v>0.25</v>
      </c>
      <c r="Q287" s="36"/>
      <c r="R287" s="14"/>
      <c r="S287" s="14"/>
      <c r="T287" s="14"/>
      <c r="U287" s="14"/>
      <c r="V287" s="14"/>
      <c r="W287" s="14"/>
      <c r="X287" s="14"/>
      <c r="Y287" s="14"/>
      <c r="Z287" s="14"/>
    </row>
    <row r="288" ht="12.75" customHeight="1">
      <c r="A288" s="26" t="s">
        <v>318</v>
      </c>
      <c r="B288" s="26" t="s">
        <v>48</v>
      </c>
      <c r="C288" s="26" t="s">
        <v>20</v>
      </c>
      <c r="D288" s="27">
        <v>1.0</v>
      </c>
      <c r="E288" s="28">
        <v>1365000.0</v>
      </c>
      <c r="F288" s="27">
        <v>0.0</v>
      </c>
      <c r="G288" s="28">
        <v>0.0</v>
      </c>
      <c r="H288" s="27">
        <v>1.0</v>
      </c>
      <c r="I288" s="28">
        <v>1365000.0</v>
      </c>
      <c r="J288" s="29">
        <f t="shared" si="2"/>
        <v>1365000</v>
      </c>
      <c r="K288" s="30">
        <f t="shared" ref="K288:L288" si="286">H288/12</f>
        <v>0.08333333333</v>
      </c>
      <c r="L288" s="31">
        <f t="shared" si="286"/>
        <v>113750</v>
      </c>
      <c r="M288" s="37">
        <v>0.0</v>
      </c>
      <c r="N288" s="33">
        <f t="shared" si="4"/>
        <v>0.25</v>
      </c>
      <c r="O288" s="34">
        <f t="shared" si="5"/>
        <v>0.25</v>
      </c>
      <c r="P288" s="35">
        <f t="shared" si="6"/>
        <v>0.25</v>
      </c>
      <c r="Q288" s="36"/>
      <c r="R288" s="14"/>
      <c r="S288" s="14"/>
      <c r="T288" s="14"/>
      <c r="U288" s="14"/>
      <c r="V288" s="14"/>
      <c r="W288" s="14"/>
      <c r="X288" s="14"/>
      <c r="Y288" s="14"/>
      <c r="Z288" s="14"/>
    </row>
    <row r="289" ht="12.75" customHeight="1">
      <c r="A289" s="26" t="s">
        <v>319</v>
      </c>
      <c r="B289" s="26" t="s">
        <v>22</v>
      </c>
      <c r="C289" s="26" t="s">
        <v>20</v>
      </c>
      <c r="D289" s="27">
        <v>2.0</v>
      </c>
      <c r="E289" s="28">
        <v>1336500.0</v>
      </c>
      <c r="F289" s="27">
        <v>0.0</v>
      </c>
      <c r="G289" s="28">
        <v>0.0</v>
      </c>
      <c r="H289" s="27">
        <v>2.0</v>
      </c>
      <c r="I289" s="28">
        <v>1336500.0</v>
      </c>
      <c r="J289" s="29">
        <f t="shared" si="2"/>
        <v>668250</v>
      </c>
      <c r="K289" s="30">
        <f t="shared" ref="K289:L289" si="287">H289/12</f>
        <v>0.1666666667</v>
      </c>
      <c r="L289" s="31">
        <f t="shared" si="287"/>
        <v>111375</v>
      </c>
      <c r="M289" s="32">
        <v>0.0</v>
      </c>
      <c r="N289" s="33">
        <f t="shared" si="4"/>
        <v>0.5</v>
      </c>
      <c r="O289" s="34">
        <f t="shared" si="5"/>
        <v>0.5</v>
      </c>
      <c r="P289" s="35">
        <f t="shared" si="6"/>
        <v>0.5</v>
      </c>
      <c r="Q289" s="36"/>
      <c r="R289" s="14"/>
      <c r="S289" s="14"/>
      <c r="T289" s="14"/>
      <c r="U289" s="14"/>
      <c r="V289" s="14"/>
      <c r="W289" s="14"/>
      <c r="X289" s="14"/>
      <c r="Y289" s="14"/>
      <c r="Z289" s="14"/>
    </row>
    <row r="290" ht="12.75" customHeight="1">
      <c r="A290" s="26" t="s">
        <v>320</v>
      </c>
      <c r="B290" s="26" t="s">
        <v>19</v>
      </c>
      <c r="C290" s="26" t="s">
        <v>20</v>
      </c>
      <c r="D290" s="27">
        <v>1.0</v>
      </c>
      <c r="E290" s="28">
        <v>1300000.0</v>
      </c>
      <c r="F290" s="27">
        <v>0.0</v>
      </c>
      <c r="G290" s="28">
        <v>0.0</v>
      </c>
      <c r="H290" s="27">
        <v>1.0</v>
      </c>
      <c r="I290" s="28">
        <v>1300000.0</v>
      </c>
      <c r="J290" s="29">
        <f t="shared" si="2"/>
        <v>1300000</v>
      </c>
      <c r="K290" s="30">
        <f t="shared" ref="K290:L290" si="288">H290/12</f>
        <v>0.08333333333</v>
      </c>
      <c r="L290" s="31">
        <f t="shared" si="288"/>
        <v>108333.3333</v>
      </c>
      <c r="M290" s="32">
        <v>0.0</v>
      </c>
      <c r="N290" s="33">
        <f t="shared" si="4"/>
        <v>0.25</v>
      </c>
      <c r="O290" s="34">
        <f t="shared" si="5"/>
        <v>0.25</v>
      </c>
      <c r="P290" s="35">
        <f t="shared" si="6"/>
        <v>0.25</v>
      </c>
      <c r="Q290" s="36"/>
      <c r="R290" s="14"/>
      <c r="S290" s="14"/>
      <c r="T290" s="14"/>
      <c r="U290" s="14"/>
      <c r="V290" s="14"/>
      <c r="W290" s="14"/>
      <c r="X290" s="14"/>
      <c r="Y290" s="14"/>
      <c r="Z290" s="14"/>
    </row>
    <row r="291" ht="12.75" customHeight="1">
      <c r="A291" s="26" t="s">
        <v>321</v>
      </c>
      <c r="B291" s="26" t="s">
        <v>169</v>
      </c>
      <c r="C291" s="26" t="s">
        <v>36</v>
      </c>
      <c r="D291" s="27">
        <v>31.0</v>
      </c>
      <c r="E291" s="28">
        <v>1298000.0</v>
      </c>
      <c r="F291" s="27">
        <v>0.0</v>
      </c>
      <c r="G291" s="28">
        <v>0.0</v>
      </c>
      <c r="H291" s="27">
        <v>31.0</v>
      </c>
      <c r="I291" s="28">
        <v>1298000.0</v>
      </c>
      <c r="J291" s="29">
        <f t="shared" si="2"/>
        <v>41870.96774</v>
      </c>
      <c r="K291" s="30">
        <f t="shared" ref="K291:L291" si="289">H291/12</f>
        <v>2.583333333</v>
      </c>
      <c r="L291" s="31">
        <f t="shared" si="289"/>
        <v>108166.6667</v>
      </c>
      <c r="M291" s="37">
        <v>4.0</v>
      </c>
      <c r="N291" s="33">
        <f t="shared" si="4"/>
        <v>7.75</v>
      </c>
      <c r="O291" s="34">
        <f t="shared" si="5"/>
        <v>3.75</v>
      </c>
      <c r="P291" s="35">
        <f t="shared" si="6"/>
        <v>3.75</v>
      </c>
      <c r="Q291" s="36"/>
      <c r="R291" s="14"/>
      <c r="S291" s="14"/>
      <c r="T291" s="14"/>
      <c r="U291" s="14"/>
      <c r="V291" s="14"/>
      <c r="W291" s="14"/>
      <c r="X291" s="14"/>
      <c r="Y291" s="14"/>
      <c r="Z291" s="14"/>
    </row>
    <row r="292" ht="12.75" customHeight="1">
      <c r="A292" s="26" t="s">
        <v>322</v>
      </c>
      <c r="B292" s="26" t="s">
        <v>48</v>
      </c>
      <c r="C292" s="26" t="s">
        <v>20</v>
      </c>
      <c r="D292" s="27">
        <v>1.0</v>
      </c>
      <c r="E292" s="28">
        <v>1270000.0</v>
      </c>
      <c r="F292" s="27">
        <v>0.0</v>
      </c>
      <c r="G292" s="28">
        <v>0.0</v>
      </c>
      <c r="H292" s="27">
        <v>1.0</v>
      </c>
      <c r="I292" s="28">
        <v>1270000.0</v>
      </c>
      <c r="J292" s="29">
        <f t="shared" si="2"/>
        <v>1270000</v>
      </c>
      <c r="K292" s="30">
        <f t="shared" ref="K292:L292" si="290">H292/12</f>
        <v>0.08333333333</v>
      </c>
      <c r="L292" s="31">
        <f t="shared" si="290"/>
        <v>105833.3333</v>
      </c>
      <c r="M292" s="37">
        <v>0.0</v>
      </c>
      <c r="N292" s="33">
        <f t="shared" si="4"/>
        <v>0.25</v>
      </c>
      <c r="O292" s="34">
        <f t="shared" si="5"/>
        <v>0.25</v>
      </c>
      <c r="P292" s="35">
        <f t="shared" si="6"/>
        <v>0.25</v>
      </c>
      <c r="Q292" s="36"/>
      <c r="R292" s="14"/>
      <c r="S292" s="14"/>
      <c r="T292" s="14"/>
      <c r="U292" s="14"/>
      <c r="V292" s="14"/>
      <c r="W292" s="14"/>
      <c r="X292" s="14"/>
      <c r="Y292" s="14"/>
      <c r="Z292" s="14"/>
    </row>
    <row r="293" ht="12.75" customHeight="1">
      <c r="A293" s="26" t="s">
        <v>323</v>
      </c>
      <c r="B293" s="26" t="s">
        <v>19</v>
      </c>
      <c r="C293" s="26" t="s">
        <v>20</v>
      </c>
      <c r="D293" s="27">
        <v>2.0</v>
      </c>
      <c r="E293" s="28">
        <v>1240000.0</v>
      </c>
      <c r="F293" s="27">
        <v>0.0</v>
      </c>
      <c r="G293" s="28">
        <v>0.0</v>
      </c>
      <c r="H293" s="27">
        <v>2.0</v>
      </c>
      <c r="I293" s="28">
        <v>1240000.0</v>
      </c>
      <c r="J293" s="29">
        <f t="shared" si="2"/>
        <v>620000</v>
      </c>
      <c r="K293" s="30">
        <f t="shared" ref="K293:L293" si="291">H293/12</f>
        <v>0.1666666667</v>
      </c>
      <c r="L293" s="31">
        <f t="shared" si="291"/>
        <v>103333.3333</v>
      </c>
      <c r="M293" s="37">
        <v>0.0</v>
      </c>
      <c r="N293" s="33">
        <f t="shared" si="4"/>
        <v>0.5</v>
      </c>
      <c r="O293" s="34">
        <f t="shared" si="5"/>
        <v>0.5</v>
      </c>
      <c r="P293" s="35">
        <f t="shared" si="6"/>
        <v>0.5</v>
      </c>
      <c r="Q293" s="36"/>
      <c r="R293" s="14"/>
      <c r="S293" s="14"/>
      <c r="T293" s="14"/>
      <c r="U293" s="14"/>
      <c r="V293" s="14"/>
      <c r="W293" s="14"/>
      <c r="X293" s="14"/>
      <c r="Y293" s="14"/>
      <c r="Z293" s="14"/>
    </row>
    <row r="294" ht="12.75" customHeight="1">
      <c r="A294" s="26" t="s">
        <v>324</v>
      </c>
      <c r="B294" s="26" t="s">
        <v>48</v>
      </c>
      <c r="C294" s="26" t="s">
        <v>20</v>
      </c>
      <c r="D294" s="27">
        <v>1.0</v>
      </c>
      <c r="E294" s="28">
        <v>1225000.0</v>
      </c>
      <c r="F294" s="27">
        <v>0.0</v>
      </c>
      <c r="G294" s="28">
        <v>0.0</v>
      </c>
      <c r="H294" s="27">
        <v>1.0</v>
      </c>
      <c r="I294" s="28">
        <v>1225000.0</v>
      </c>
      <c r="J294" s="29">
        <f t="shared" si="2"/>
        <v>1225000</v>
      </c>
      <c r="K294" s="30">
        <f t="shared" ref="K294:L294" si="292">H294/12</f>
        <v>0.08333333333</v>
      </c>
      <c r="L294" s="31">
        <f t="shared" si="292"/>
        <v>102083.3333</v>
      </c>
      <c r="M294" s="37">
        <v>0.0</v>
      </c>
      <c r="N294" s="33">
        <f t="shared" si="4"/>
        <v>0.25</v>
      </c>
      <c r="O294" s="34">
        <f t="shared" si="5"/>
        <v>0.25</v>
      </c>
      <c r="P294" s="35">
        <f t="shared" si="6"/>
        <v>0.25</v>
      </c>
      <c r="Q294" s="36"/>
      <c r="R294" s="14"/>
      <c r="S294" s="14"/>
      <c r="T294" s="14"/>
      <c r="U294" s="14"/>
      <c r="V294" s="14"/>
      <c r="W294" s="14"/>
      <c r="X294" s="14"/>
      <c r="Y294" s="14"/>
      <c r="Z294" s="14"/>
    </row>
    <row r="295" ht="12.75" customHeight="1">
      <c r="A295" s="26" t="s">
        <v>325</v>
      </c>
      <c r="B295" s="26" t="s">
        <v>169</v>
      </c>
      <c r="C295" s="26" t="s">
        <v>203</v>
      </c>
      <c r="D295" s="27">
        <v>1.0</v>
      </c>
      <c r="E295" s="28">
        <v>1200000.0</v>
      </c>
      <c r="F295" s="27">
        <v>0.0</v>
      </c>
      <c r="G295" s="28">
        <v>0.0</v>
      </c>
      <c r="H295" s="27">
        <v>1.0</v>
      </c>
      <c r="I295" s="28">
        <v>1200000.0</v>
      </c>
      <c r="J295" s="29">
        <f t="shared" si="2"/>
        <v>1200000</v>
      </c>
      <c r="K295" s="30">
        <f t="shared" ref="K295:L295" si="293">H295/12</f>
        <v>0.08333333333</v>
      </c>
      <c r="L295" s="31">
        <f t="shared" si="293"/>
        <v>100000</v>
      </c>
      <c r="M295" s="37">
        <v>0.0</v>
      </c>
      <c r="N295" s="33">
        <f t="shared" si="4"/>
        <v>0.25</v>
      </c>
      <c r="O295" s="34">
        <f t="shared" si="5"/>
        <v>0.25</v>
      </c>
      <c r="P295" s="35">
        <f t="shared" si="6"/>
        <v>0.25</v>
      </c>
      <c r="Q295" s="36"/>
      <c r="R295" s="14"/>
      <c r="S295" s="14"/>
      <c r="T295" s="14"/>
      <c r="U295" s="14"/>
      <c r="V295" s="14"/>
      <c r="W295" s="14"/>
      <c r="X295" s="14"/>
      <c r="Y295" s="14"/>
      <c r="Z295" s="14"/>
    </row>
    <row r="296" ht="12.75" customHeight="1">
      <c r="A296" s="26" t="s">
        <v>326</v>
      </c>
      <c r="B296" s="26" t="s">
        <v>56</v>
      </c>
      <c r="C296" s="26" t="s">
        <v>20</v>
      </c>
      <c r="D296" s="27">
        <v>1.0</v>
      </c>
      <c r="E296" s="28">
        <v>1200000.0</v>
      </c>
      <c r="F296" s="27">
        <v>0.0</v>
      </c>
      <c r="G296" s="28">
        <v>0.0</v>
      </c>
      <c r="H296" s="27">
        <v>1.0</v>
      </c>
      <c r="I296" s="28">
        <v>1200000.0</v>
      </c>
      <c r="J296" s="29">
        <f t="shared" si="2"/>
        <v>1200000</v>
      </c>
      <c r="K296" s="30">
        <f t="shared" ref="K296:L296" si="294">H296/12</f>
        <v>0.08333333333</v>
      </c>
      <c r="L296" s="31">
        <f t="shared" si="294"/>
        <v>100000</v>
      </c>
      <c r="M296" s="32">
        <v>0.0</v>
      </c>
      <c r="N296" s="33">
        <f t="shared" si="4"/>
        <v>0.25</v>
      </c>
      <c r="O296" s="34">
        <f t="shared" si="5"/>
        <v>0.25</v>
      </c>
      <c r="P296" s="35">
        <f t="shared" si="6"/>
        <v>0.25</v>
      </c>
      <c r="Q296" s="36"/>
      <c r="R296" s="14"/>
      <c r="S296" s="14"/>
      <c r="T296" s="14"/>
      <c r="U296" s="14"/>
      <c r="V296" s="14"/>
      <c r="W296" s="14"/>
      <c r="X296" s="14"/>
      <c r="Y296" s="14"/>
      <c r="Z296" s="14"/>
    </row>
    <row r="297" ht="12.75" customHeight="1">
      <c r="A297" s="26" t="s">
        <v>327</v>
      </c>
      <c r="B297" s="26" t="s">
        <v>48</v>
      </c>
      <c r="C297" s="26" t="s">
        <v>20</v>
      </c>
      <c r="D297" s="27">
        <v>1.0</v>
      </c>
      <c r="E297" s="28">
        <v>1190000.0</v>
      </c>
      <c r="F297" s="27">
        <v>0.0</v>
      </c>
      <c r="G297" s="28">
        <v>0.0</v>
      </c>
      <c r="H297" s="27">
        <v>1.0</v>
      </c>
      <c r="I297" s="28">
        <v>1190000.0</v>
      </c>
      <c r="J297" s="29">
        <f t="shared" si="2"/>
        <v>1190000</v>
      </c>
      <c r="K297" s="30">
        <f t="shared" ref="K297:L297" si="295">H297/12</f>
        <v>0.08333333333</v>
      </c>
      <c r="L297" s="31">
        <f t="shared" si="295"/>
        <v>99166.66667</v>
      </c>
      <c r="M297" s="32">
        <v>0.0</v>
      </c>
      <c r="N297" s="33">
        <f t="shared" si="4"/>
        <v>0.25</v>
      </c>
      <c r="O297" s="34">
        <f t="shared" si="5"/>
        <v>0.25</v>
      </c>
      <c r="P297" s="35">
        <f t="shared" si="6"/>
        <v>0.25</v>
      </c>
      <c r="Q297" s="36"/>
      <c r="R297" s="14"/>
      <c r="S297" s="14"/>
      <c r="T297" s="14"/>
      <c r="U297" s="14"/>
      <c r="V297" s="14"/>
      <c r="W297" s="14"/>
      <c r="X297" s="14"/>
      <c r="Y297" s="14"/>
      <c r="Z297" s="14"/>
    </row>
    <row r="298" ht="12.75" customHeight="1">
      <c r="A298" s="26" t="s">
        <v>328</v>
      </c>
      <c r="B298" s="26" t="s">
        <v>93</v>
      </c>
      <c r="C298" s="26" t="s">
        <v>20</v>
      </c>
      <c r="D298" s="27">
        <v>2.0</v>
      </c>
      <c r="E298" s="28">
        <v>1180000.0</v>
      </c>
      <c r="F298" s="27">
        <v>0.0</v>
      </c>
      <c r="G298" s="28">
        <v>0.0</v>
      </c>
      <c r="H298" s="27">
        <v>2.0</v>
      </c>
      <c r="I298" s="28">
        <v>1180000.0</v>
      </c>
      <c r="J298" s="29">
        <f t="shared" si="2"/>
        <v>590000</v>
      </c>
      <c r="K298" s="30">
        <f t="shared" ref="K298:L298" si="296">H298/12</f>
        <v>0.1666666667</v>
      </c>
      <c r="L298" s="31">
        <f t="shared" si="296"/>
        <v>98333.33333</v>
      </c>
      <c r="M298" s="37">
        <v>0.0</v>
      </c>
      <c r="N298" s="33">
        <f t="shared" si="4"/>
        <v>0.5</v>
      </c>
      <c r="O298" s="34">
        <f t="shared" si="5"/>
        <v>0.5</v>
      </c>
      <c r="P298" s="35">
        <f t="shared" si="6"/>
        <v>0.5</v>
      </c>
      <c r="Q298" s="36"/>
      <c r="R298" s="14"/>
      <c r="S298" s="14"/>
      <c r="T298" s="14"/>
      <c r="U298" s="14"/>
      <c r="V298" s="14"/>
      <c r="W298" s="14"/>
      <c r="X298" s="14"/>
      <c r="Y298" s="14"/>
      <c r="Z298" s="14"/>
    </row>
    <row r="299" ht="12.75" customHeight="1">
      <c r="A299" s="26" t="s">
        <v>329</v>
      </c>
      <c r="B299" s="26" t="s">
        <v>19</v>
      </c>
      <c r="C299" s="26" t="s">
        <v>20</v>
      </c>
      <c r="D299" s="27">
        <v>2.0</v>
      </c>
      <c r="E299" s="28">
        <v>1148400.0</v>
      </c>
      <c r="F299" s="27">
        <v>0.0</v>
      </c>
      <c r="G299" s="28">
        <v>0.0</v>
      </c>
      <c r="H299" s="27">
        <v>2.0</v>
      </c>
      <c r="I299" s="28">
        <v>1148400.0</v>
      </c>
      <c r="J299" s="29">
        <f t="shared" si="2"/>
        <v>574200</v>
      </c>
      <c r="K299" s="30">
        <f t="shared" ref="K299:L299" si="297">H299/12</f>
        <v>0.1666666667</v>
      </c>
      <c r="L299" s="31">
        <f t="shared" si="297"/>
        <v>95700</v>
      </c>
      <c r="M299" s="32">
        <v>0.0</v>
      </c>
      <c r="N299" s="33">
        <f t="shared" si="4"/>
        <v>0.5</v>
      </c>
      <c r="O299" s="34">
        <f t="shared" si="5"/>
        <v>0.5</v>
      </c>
      <c r="P299" s="35">
        <f t="shared" si="6"/>
        <v>0.5</v>
      </c>
      <c r="Q299" s="36"/>
      <c r="R299" s="14"/>
      <c r="S299" s="14"/>
      <c r="T299" s="14"/>
      <c r="U299" s="14"/>
      <c r="V299" s="14"/>
      <c r="W299" s="14"/>
      <c r="X299" s="14"/>
      <c r="Y299" s="14"/>
      <c r="Z299" s="14"/>
    </row>
    <row r="300" ht="12.75" customHeight="1">
      <c r="A300" s="26" t="s">
        <v>330</v>
      </c>
      <c r="B300" s="26" t="s">
        <v>25</v>
      </c>
      <c r="C300" s="26" t="s">
        <v>20</v>
      </c>
      <c r="D300" s="27">
        <v>2.0</v>
      </c>
      <c r="E300" s="28">
        <v>1148400.0</v>
      </c>
      <c r="F300" s="27">
        <v>0.0</v>
      </c>
      <c r="G300" s="28">
        <v>0.0</v>
      </c>
      <c r="H300" s="27">
        <v>2.0</v>
      </c>
      <c r="I300" s="28">
        <v>1148400.0</v>
      </c>
      <c r="J300" s="29">
        <f t="shared" si="2"/>
        <v>574200</v>
      </c>
      <c r="K300" s="30">
        <f t="shared" ref="K300:L300" si="298">H300/12</f>
        <v>0.1666666667</v>
      </c>
      <c r="L300" s="31">
        <f t="shared" si="298"/>
        <v>95700</v>
      </c>
      <c r="M300" s="37">
        <v>0.0</v>
      </c>
      <c r="N300" s="33">
        <f t="shared" si="4"/>
        <v>0.5</v>
      </c>
      <c r="O300" s="34">
        <f t="shared" si="5"/>
        <v>0.5</v>
      </c>
      <c r="P300" s="35">
        <f t="shared" si="6"/>
        <v>0.5</v>
      </c>
      <c r="Q300" s="36"/>
      <c r="R300" s="14"/>
      <c r="S300" s="14"/>
      <c r="T300" s="14"/>
      <c r="U300" s="14"/>
      <c r="V300" s="14"/>
      <c r="W300" s="14"/>
      <c r="X300" s="14"/>
      <c r="Y300" s="14"/>
      <c r="Z300" s="14"/>
    </row>
    <row r="301" ht="12.75" customHeight="1">
      <c r="A301" s="26" t="s">
        <v>331</v>
      </c>
      <c r="B301" s="26" t="s">
        <v>169</v>
      </c>
      <c r="C301" s="26" t="s">
        <v>36</v>
      </c>
      <c r="D301" s="27">
        <v>17.0</v>
      </c>
      <c r="E301" s="28">
        <v>1140000.0</v>
      </c>
      <c r="F301" s="27">
        <v>0.0</v>
      </c>
      <c r="G301" s="28">
        <v>0.0</v>
      </c>
      <c r="H301" s="27">
        <v>17.0</v>
      </c>
      <c r="I301" s="28">
        <v>1140000.0</v>
      </c>
      <c r="J301" s="29">
        <f t="shared" si="2"/>
        <v>67058.82353</v>
      </c>
      <c r="K301" s="30">
        <f t="shared" ref="K301:L301" si="299">H301/12</f>
        <v>1.416666667</v>
      </c>
      <c r="L301" s="31">
        <f t="shared" si="299"/>
        <v>95000</v>
      </c>
      <c r="M301" s="32">
        <v>73.0</v>
      </c>
      <c r="N301" s="33">
        <f t="shared" si="4"/>
        <v>4.25</v>
      </c>
      <c r="O301" s="34">
        <f t="shared" si="5"/>
        <v>-68.75</v>
      </c>
      <c r="P301" s="35" t="str">
        <f t="shared" si="6"/>
        <v/>
      </c>
      <c r="Q301" s="36"/>
      <c r="R301" s="14"/>
      <c r="S301" s="14"/>
      <c r="T301" s="14"/>
      <c r="U301" s="14"/>
      <c r="V301" s="14"/>
      <c r="W301" s="14"/>
      <c r="X301" s="14"/>
      <c r="Y301" s="14"/>
      <c r="Z301" s="14"/>
    </row>
    <row r="302" ht="12.75" customHeight="1">
      <c r="A302" s="26" t="s">
        <v>332</v>
      </c>
      <c r="B302" s="26" t="s">
        <v>25</v>
      </c>
      <c r="C302" s="26" t="s">
        <v>20</v>
      </c>
      <c r="D302" s="27">
        <v>2.0</v>
      </c>
      <c r="E302" s="28">
        <v>1080000.0</v>
      </c>
      <c r="F302" s="27">
        <v>0.0</v>
      </c>
      <c r="G302" s="28">
        <v>0.0</v>
      </c>
      <c r="H302" s="27">
        <v>2.0</v>
      </c>
      <c r="I302" s="28">
        <v>1080000.0</v>
      </c>
      <c r="J302" s="29">
        <f t="shared" si="2"/>
        <v>540000</v>
      </c>
      <c r="K302" s="30">
        <f t="shared" ref="K302:L302" si="300">H302/12</f>
        <v>0.1666666667</v>
      </c>
      <c r="L302" s="31">
        <f t="shared" si="300"/>
        <v>90000</v>
      </c>
      <c r="M302" s="37">
        <v>0.0</v>
      </c>
      <c r="N302" s="33">
        <f t="shared" si="4"/>
        <v>0.5</v>
      </c>
      <c r="O302" s="34">
        <f t="shared" si="5"/>
        <v>0.5</v>
      </c>
      <c r="P302" s="35">
        <f t="shared" si="6"/>
        <v>0.5</v>
      </c>
      <c r="Q302" s="36"/>
      <c r="R302" s="14"/>
      <c r="S302" s="14"/>
      <c r="T302" s="14"/>
      <c r="U302" s="14"/>
      <c r="V302" s="14"/>
      <c r="W302" s="14"/>
      <c r="X302" s="14"/>
      <c r="Y302" s="14"/>
      <c r="Z302" s="14"/>
    </row>
    <row r="303" ht="12.75" customHeight="1">
      <c r="A303" s="26" t="s">
        <v>333</v>
      </c>
      <c r="B303" s="26" t="s">
        <v>22</v>
      </c>
      <c r="C303" s="26" t="s">
        <v>20</v>
      </c>
      <c r="D303" s="27">
        <v>1.0</v>
      </c>
      <c r="E303" s="28">
        <v>1050000.0</v>
      </c>
      <c r="F303" s="27">
        <v>0.0</v>
      </c>
      <c r="G303" s="28">
        <v>0.0</v>
      </c>
      <c r="H303" s="27">
        <v>1.0</v>
      </c>
      <c r="I303" s="28">
        <v>1050000.0</v>
      </c>
      <c r="J303" s="29">
        <f t="shared" si="2"/>
        <v>1050000</v>
      </c>
      <c r="K303" s="30">
        <f t="shared" ref="K303:L303" si="301">H303/12</f>
        <v>0.08333333333</v>
      </c>
      <c r="L303" s="31">
        <f t="shared" si="301"/>
        <v>87500</v>
      </c>
      <c r="M303" s="37">
        <v>0.0</v>
      </c>
      <c r="N303" s="33">
        <f t="shared" si="4"/>
        <v>0.25</v>
      </c>
      <c r="O303" s="34">
        <f t="shared" si="5"/>
        <v>0.25</v>
      </c>
      <c r="P303" s="35">
        <f t="shared" si="6"/>
        <v>0.25</v>
      </c>
      <c r="Q303" s="36"/>
      <c r="R303" s="14"/>
      <c r="S303" s="14"/>
      <c r="T303" s="14"/>
      <c r="U303" s="14"/>
      <c r="V303" s="14"/>
      <c r="W303" s="14"/>
      <c r="X303" s="14"/>
      <c r="Y303" s="14"/>
      <c r="Z303" s="14"/>
    </row>
    <row r="304" ht="12.75" customHeight="1">
      <c r="A304" s="26" t="s">
        <v>334</v>
      </c>
      <c r="B304" s="26" t="s">
        <v>48</v>
      </c>
      <c r="C304" s="26" t="s">
        <v>20</v>
      </c>
      <c r="D304" s="27">
        <v>1.0</v>
      </c>
      <c r="E304" s="28">
        <v>1050000.0</v>
      </c>
      <c r="F304" s="27">
        <v>0.0</v>
      </c>
      <c r="G304" s="28">
        <v>0.0</v>
      </c>
      <c r="H304" s="27">
        <v>1.0</v>
      </c>
      <c r="I304" s="28">
        <v>1050000.0</v>
      </c>
      <c r="J304" s="29">
        <f t="shared" si="2"/>
        <v>1050000</v>
      </c>
      <c r="K304" s="30">
        <f t="shared" ref="K304:L304" si="302">H304/12</f>
        <v>0.08333333333</v>
      </c>
      <c r="L304" s="31">
        <f t="shared" si="302"/>
        <v>87500</v>
      </c>
      <c r="M304" s="37">
        <v>0.0</v>
      </c>
      <c r="N304" s="33">
        <f t="shared" si="4"/>
        <v>0.25</v>
      </c>
      <c r="O304" s="34">
        <f t="shared" si="5"/>
        <v>0.25</v>
      </c>
      <c r="P304" s="35">
        <f t="shared" si="6"/>
        <v>0.25</v>
      </c>
      <c r="Q304" s="36"/>
      <c r="R304" s="14"/>
      <c r="S304" s="14"/>
      <c r="T304" s="14"/>
      <c r="U304" s="14"/>
      <c r="V304" s="14"/>
      <c r="W304" s="14"/>
      <c r="X304" s="14"/>
      <c r="Y304" s="14"/>
      <c r="Z304" s="14"/>
    </row>
    <row r="305" ht="12.75" customHeight="1">
      <c r="A305" s="26" t="s">
        <v>335</v>
      </c>
      <c r="B305" s="26" t="s">
        <v>48</v>
      </c>
      <c r="C305" s="26" t="s">
        <v>20</v>
      </c>
      <c r="D305" s="27">
        <v>1.0</v>
      </c>
      <c r="E305" s="28">
        <v>1050000.0</v>
      </c>
      <c r="F305" s="27">
        <v>0.0</v>
      </c>
      <c r="G305" s="28">
        <v>0.0</v>
      </c>
      <c r="H305" s="27">
        <v>1.0</v>
      </c>
      <c r="I305" s="28">
        <v>1050000.0</v>
      </c>
      <c r="J305" s="29">
        <f t="shared" si="2"/>
        <v>1050000</v>
      </c>
      <c r="K305" s="30">
        <f t="shared" ref="K305:L305" si="303">H305/12</f>
        <v>0.08333333333</v>
      </c>
      <c r="L305" s="31">
        <f t="shared" si="303"/>
        <v>87500</v>
      </c>
      <c r="M305" s="32">
        <v>0.0</v>
      </c>
      <c r="N305" s="33">
        <f t="shared" si="4"/>
        <v>0.25</v>
      </c>
      <c r="O305" s="34">
        <f t="shared" si="5"/>
        <v>0.25</v>
      </c>
      <c r="P305" s="35">
        <f t="shared" si="6"/>
        <v>0.25</v>
      </c>
      <c r="Q305" s="36"/>
      <c r="R305" s="14"/>
      <c r="S305" s="14"/>
      <c r="T305" s="14"/>
      <c r="U305" s="14"/>
      <c r="V305" s="14"/>
      <c r="W305" s="14"/>
      <c r="X305" s="14"/>
      <c r="Y305" s="14"/>
      <c r="Z305" s="14"/>
    </row>
    <row r="306" ht="12.75" customHeight="1">
      <c r="A306" s="26" t="s">
        <v>336</v>
      </c>
      <c r="B306" s="26" t="s">
        <v>48</v>
      </c>
      <c r="C306" s="26" t="s">
        <v>20</v>
      </c>
      <c r="D306" s="27">
        <v>1.0</v>
      </c>
      <c r="E306" s="28">
        <v>1050000.0</v>
      </c>
      <c r="F306" s="27">
        <v>0.0</v>
      </c>
      <c r="G306" s="28">
        <v>0.0</v>
      </c>
      <c r="H306" s="27">
        <v>1.0</v>
      </c>
      <c r="I306" s="28">
        <v>1050000.0</v>
      </c>
      <c r="J306" s="29">
        <f t="shared" si="2"/>
        <v>1050000</v>
      </c>
      <c r="K306" s="30">
        <f t="shared" ref="K306:L306" si="304">H306/12</f>
        <v>0.08333333333</v>
      </c>
      <c r="L306" s="31">
        <f t="shared" si="304"/>
        <v>87500</v>
      </c>
      <c r="M306" s="37">
        <v>0.0</v>
      </c>
      <c r="N306" s="33">
        <f t="shared" si="4"/>
        <v>0.25</v>
      </c>
      <c r="O306" s="34">
        <f t="shared" si="5"/>
        <v>0.25</v>
      </c>
      <c r="P306" s="35">
        <f t="shared" si="6"/>
        <v>0.25</v>
      </c>
      <c r="Q306" s="36"/>
      <c r="R306" s="14"/>
      <c r="S306" s="14"/>
      <c r="T306" s="14"/>
      <c r="U306" s="14"/>
      <c r="V306" s="14"/>
      <c r="W306" s="14"/>
      <c r="X306" s="14"/>
      <c r="Y306" s="14"/>
      <c r="Z306" s="14"/>
    </row>
    <row r="307" ht="12.75" customHeight="1">
      <c r="A307" s="26" t="s">
        <v>337</v>
      </c>
      <c r="B307" s="26" t="s">
        <v>48</v>
      </c>
      <c r="C307" s="26" t="s">
        <v>20</v>
      </c>
      <c r="D307" s="27">
        <v>1.0</v>
      </c>
      <c r="E307" s="28">
        <v>1015000.0</v>
      </c>
      <c r="F307" s="27">
        <v>0.0</v>
      </c>
      <c r="G307" s="28">
        <v>0.0</v>
      </c>
      <c r="H307" s="27">
        <v>1.0</v>
      </c>
      <c r="I307" s="28">
        <v>1015000.0</v>
      </c>
      <c r="J307" s="29">
        <f t="shared" si="2"/>
        <v>1015000</v>
      </c>
      <c r="K307" s="30">
        <f t="shared" ref="K307:L307" si="305">H307/12</f>
        <v>0.08333333333</v>
      </c>
      <c r="L307" s="31">
        <f t="shared" si="305"/>
        <v>84583.33333</v>
      </c>
      <c r="M307" s="37">
        <v>0.0</v>
      </c>
      <c r="N307" s="33">
        <f t="shared" si="4"/>
        <v>0.25</v>
      </c>
      <c r="O307" s="34">
        <f t="shared" si="5"/>
        <v>0.25</v>
      </c>
      <c r="P307" s="35">
        <f t="shared" si="6"/>
        <v>0.25</v>
      </c>
      <c r="Q307" s="36"/>
      <c r="R307" s="14"/>
      <c r="S307" s="14"/>
      <c r="T307" s="14"/>
      <c r="U307" s="14"/>
      <c r="V307" s="14"/>
      <c r="W307" s="14"/>
      <c r="X307" s="14"/>
      <c r="Y307" s="14"/>
      <c r="Z307" s="14"/>
    </row>
    <row r="308" ht="12.75" customHeight="1">
      <c r="A308" s="26" t="s">
        <v>338</v>
      </c>
      <c r="B308" s="26" t="s">
        <v>56</v>
      </c>
      <c r="C308" s="26" t="s">
        <v>20</v>
      </c>
      <c r="D308" s="27">
        <v>1.0</v>
      </c>
      <c r="E308" s="28">
        <v>1000000.0</v>
      </c>
      <c r="F308" s="27">
        <v>0.0</v>
      </c>
      <c r="G308" s="28">
        <v>0.0</v>
      </c>
      <c r="H308" s="27">
        <v>1.0</v>
      </c>
      <c r="I308" s="28">
        <v>1000000.0</v>
      </c>
      <c r="J308" s="29">
        <f t="shared" si="2"/>
        <v>1000000</v>
      </c>
      <c r="K308" s="30">
        <f t="shared" ref="K308:L308" si="306">H308/12</f>
        <v>0.08333333333</v>
      </c>
      <c r="L308" s="31">
        <f t="shared" si="306"/>
        <v>83333.33333</v>
      </c>
      <c r="M308" s="37">
        <v>0.0</v>
      </c>
      <c r="N308" s="33">
        <f t="shared" si="4"/>
        <v>0.25</v>
      </c>
      <c r="O308" s="34">
        <f t="shared" si="5"/>
        <v>0.25</v>
      </c>
      <c r="P308" s="35">
        <f t="shared" si="6"/>
        <v>0.25</v>
      </c>
      <c r="Q308" s="36"/>
      <c r="R308" s="14"/>
      <c r="S308" s="14"/>
      <c r="T308" s="14"/>
      <c r="U308" s="14"/>
      <c r="V308" s="14"/>
      <c r="W308" s="14"/>
      <c r="X308" s="14"/>
      <c r="Y308" s="14"/>
      <c r="Z308" s="14"/>
    </row>
    <row r="309" ht="12.75" customHeight="1">
      <c r="A309" s="26" t="s">
        <v>339</v>
      </c>
      <c r="B309" s="26" t="s">
        <v>31</v>
      </c>
      <c r="C309" s="26" t="s">
        <v>20</v>
      </c>
      <c r="D309" s="27">
        <v>1.0</v>
      </c>
      <c r="E309" s="28">
        <v>975000.0</v>
      </c>
      <c r="F309" s="27">
        <v>0.0</v>
      </c>
      <c r="G309" s="28">
        <v>0.0</v>
      </c>
      <c r="H309" s="27">
        <v>1.0</v>
      </c>
      <c r="I309" s="28">
        <v>975000.0</v>
      </c>
      <c r="J309" s="29">
        <f t="shared" si="2"/>
        <v>975000</v>
      </c>
      <c r="K309" s="30">
        <f t="shared" ref="K309:L309" si="307">H309/12</f>
        <v>0.08333333333</v>
      </c>
      <c r="L309" s="31">
        <f t="shared" si="307"/>
        <v>81250</v>
      </c>
      <c r="M309" s="37">
        <v>0.0</v>
      </c>
      <c r="N309" s="33">
        <f t="shared" si="4"/>
        <v>0.25</v>
      </c>
      <c r="O309" s="34">
        <f t="shared" si="5"/>
        <v>0.25</v>
      </c>
      <c r="P309" s="35">
        <f t="shared" si="6"/>
        <v>0.25</v>
      </c>
      <c r="Q309" s="36"/>
      <c r="R309" s="14"/>
      <c r="S309" s="14"/>
      <c r="T309" s="14"/>
      <c r="U309" s="14"/>
      <c r="V309" s="14"/>
      <c r="W309" s="14"/>
      <c r="X309" s="14"/>
      <c r="Y309" s="14"/>
      <c r="Z309" s="14"/>
    </row>
    <row r="310" ht="12.75" customHeight="1">
      <c r="A310" s="26" t="s">
        <v>340</v>
      </c>
      <c r="B310" s="26" t="s">
        <v>169</v>
      </c>
      <c r="C310" s="26" t="s">
        <v>36</v>
      </c>
      <c r="D310" s="27">
        <v>21.0</v>
      </c>
      <c r="E310" s="28">
        <v>955200.0</v>
      </c>
      <c r="F310" s="27">
        <v>0.0</v>
      </c>
      <c r="G310" s="28">
        <v>0.0</v>
      </c>
      <c r="H310" s="27">
        <v>21.0</v>
      </c>
      <c r="I310" s="28">
        <v>955200.0</v>
      </c>
      <c r="J310" s="29">
        <f t="shared" si="2"/>
        <v>45485.71429</v>
      </c>
      <c r="K310" s="30">
        <f t="shared" ref="K310:L310" si="308">H310/12</f>
        <v>1.75</v>
      </c>
      <c r="L310" s="31">
        <f t="shared" si="308"/>
        <v>79600</v>
      </c>
      <c r="M310" s="37">
        <v>1.0</v>
      </c>
      <c r="N310" s="33">
        <f t="shared" si="4"/>
        <v>5.25</v>
      </c>
      <c r="O310" s="34">
        <f t="shared" si="5"/>
        <v>4.25</v>
      </c>
      <c r="P310" s="35">
        <f t="shared" si="6"/>
        <v>4.25</v>
      </c>
      <c r="Q310" s="36"/>
      <c r="R310" s="14"/>
      <c r="S310" s="14"/>
      <c r="T310" s="14"/>
      <c r="U310" s="14"/>
      <c r="V310" s="14"/>
      <c r="W310" s="14"/>
      <c r="X310" s="14"/>
      <c r="Y310" s="14"/>
      <c r="Z310" s="14"/>
    </row>
    <row r="311" ht="12.75" customHeight="1">
      <c r="A311" s="26" t="s">
        <v>341</v>
      </c>
      <c r="B311" s="26" t="s">
        <v>31</v>
      </c>
      <c r="C311" s="26" t="s">
        <v>20</v>
      </c>
      <c r="D311" s="27">
        <v>1.0</v>
      </c>
      <c r="E311" s="28">
        <v>900000.0</v>
      </c>
      <c r="F311" s="27">
        <v>0.0</v>
      </c>
      <c r="G311" s="28">
        <v>0.0</v>
      </c>
      <c r="H311" s="27">
        <v>1.0</v>
      </c>
      <c r="I311" s="28">
        <v>900000.0</v>
      </c>
      <c r="J311" s="29">
        <f t="shared" si="2"/>
        <v>900000</v>
      </c>
      <c r="K311" s="30">
        <f t="shared" ref="K311:L311" si="309">H311/12</f>
        <v>0.08333333333</v>
      </c>
      <c r="L311" s="31">
        <f t="shared" si="309"/>
        <v>75000</v>
      </c>
      <c r="M311" s="32">
        <v>0.0</v>
      </c>
      <c r="N311" s="33">
        <f t="shared" si="4"/>
        <v>0.25</v>
      </c>
      <c r="O311" s="34">
        <f t="shared" si="5"/>
        <v>0.25</v>
      </c>
      <c r="P311" s="35">
        <f t="shared" si="6"/>
        <v>0.25</v>
      </c>
      <c r="Q311" s="36"/>
      <c r="R311" s="14"/>
      <c r="S311" s="14"/>
      <c r="T311" s="14"/>
      <c r="U311" s="14"/>
      <c r="V311" s="14"/>
      <c r="W311" s="14"/>
      <c r="X311" s="14"/>
      <c r="Y311" s="14"/>
      <c r="Z311" s="14"/>
    </row>
    <row r="312" ht="12.75" customHeight="1">
      <c r="A312" s="26" t="s">
        <v>342</v>
      </c>
      <c r="B312" s="26" t="s">
        <v>169</v>
      </c>
      <c r="C312" s="26" t="s">
        <v>36</v>
      </c>
      <c r="D312" s="27">
        <v>12.0</v>
      </c>
      <c r="E312" s="28">
        <v>870000.0</v>
      </c>
      <c r="F312" s="27">
        <v>0.0</v>
      </c>
      <c r="G312" s="28">
        <v>0.0</v>
      </c>
      <c r="H312" s="27">
        <v>12.0</v>
      </c>
      <c r="I312" s="28">
        <v>870000.0</v>
      </c>
      <c r="J312" s="29">
        <f t="shared" si="2"/>
        <v>72500</v>
      </c>
      <c r="K312" s="30">
        <f t="shared" ref="K312:L312" si="310">H312/12</f>
        <v>1</v>
      </c>
      <c r="L312" s="31">
        <f t="shared" si="310"/>
        <v>72500</v>
      </c>
      <c r="M312" s="37">
        <v>138.0</v>
      </c>
      <c r="N312" s="33">
        <f t="shared" si="4"/>
        <v>3</v>
      </c>
      <c r="O312" s="34">
        <f t="shared" si="5"/>
        <v>-135</v>
      </c>
      <c r="P312" s="35" t="str">
        <f t="shared" si="6"/>
        <v/>
      </c>
      <c r="Q312" s="36"/>
      <c r="R312" s="14"/>
      <c r="S312" s="14"/>
      <c r="T312" s="14"/>
      <c r="U312" s="14"/>
      <c r="V312" s="14"/>
      <c r="W312" s="14"/>
      <c r="X312" s="14"/>
      <c r="Y312" s="14"/>
      <c r="Z312" s="14"/>
    </row>
    <row r="313" ht="12.75" customHeight="1">
      <c r="A313" s="26" t="s">
        <v>343</v>
      </c>
      <c r="B313" s="26" t="s">
        <v>169</v>
      </c>
      <c r="C313" s="26" t="s">
        <v>36</v>
      </c>
      <c r="D313" s="27">
        <v>16.0</v>
      </c>
      <c r="E313" s="28">
        <v>832000.0</v>
      </c>
      <c r="F313" s="27">
        <v>0.0</v>
      </c>
      <c r="G313" s="28">
        <v>0.0</v>
      </c>
      <c r="H313" s="27">
        <v>16.0</v>
      </c>
      <c r="I313" s="28">
        <v>832000.0</v>
      </c>
      <c r="J313" s="29">
        <f t="shared" si="2"/>
        <v>52000</v>
      </c>
      <c r="K313" s="30">
        <f t="shared" ref="K313:L313" si="311">H313/12</f>
        <v>1.333333333</v>
      </c>
      <c r="L313" s="31">
        <f t="shared" si="311"/>
        <v>69333.33333</v>
      </c>
      <c r="M313" s="37">
        <v>43.0</v>
      </c>
      <c r="N313" s="33">
        <f t="shared" si="4"/>
        <v>4</v>
      </c>
      <c r="O313" s="34">
        <f t="shared" si="5"/>
        <v>-39</v>
      </c>
      <c r="P313" s="35" t="str">
        <f t="shared" si="6"/>
        <v/>
      </c>
      <c r="Q313" s="36"/>
      <c r="R313" s="14"/>
      <c r="S313" s="14"/>
      <c r="T313" s="14"/>
      <c r="U313" s="14"/>
      <c r="V313" s="14"/>
      <c r="W313" s="14"/>
      <c r="X313" s="14"/>
      <c r="Y313" s="14"/>
      <c r="Z313" s="14"/>
    </row>
    <row r="314" ht="12.75" customHeight="1">
      <c r="A314" s="26" t="s">
        <v>344</v>
      </c>
      <c r="B314" s="26" t="s">
        <v>169</v>
      </c>
      <c r="C314" s="26" t="s">
        <v>36</v>
      </c>
      <c r="D314" s="27">
        <v>31.0</v>
      </c>
      <c r="E314" s="28">
        <v>806000.0</v>
      </c>
      <c r="F314" s="27">
        <v>0.0</v>
      </c>
      <c r="G314" s="28">
        <v>0.0</v>
      </c>
      <c r="H314" s="27">
        <v>31.0</v>
      </c>
      <c r="I314" s="28">
        <v>806000.0</v>
      </c>
      <c r="J314" s="29">
        <f t="shared" si="2"/>
        <v>26000</v>
      </c>
      <c r="K314" s="30">
        <f t="shared" ref="K314:L314" si="312">H314/12</f>
        <v>2.583333333</v>
      </c>
      <c r="L314" s="31">
        <f t="shared" si="312"/>
        <v>67166.66667</v>
      </c>
      <c r="M314" s="32">
        <v>0.0</v>
      </c>
      <c r="N314" s="33">
        <f t="shared" si="4"/>
        <v>7.75</v>
      </c>
      <c r="O314" s="34">
        <f t="shared" si="5"/>
        <v>7.75</v>
      </c>
      <c r="P314" s="35">
        <f t="shared" si="6"/>
        <v>7.75</v>
      </c>
      <c r="Q314" s="36"/>
      <c r="R314" s="14"/>
      <c r="S314" s="14"/>
      <c r="T314" s="14"/>
      <c r="U314" s="14"/>
      <c r="V314" s="14"/>
      <c r="W314" s="14"/>
      <c r="X314" s="14"/>
      <c r="Y314" s="14"/>
      <c r="Z314" s="14"/>
    </row>
    <row r="315" ht="12.75" customHeight="1">
      <c r="A315" s="26" t="s">
        <v>345</v>
      </c>
      <c r="B315" s="26" t="s">
        <v>25</v>
      </c>
      <c r="C315" s="26" t="s">
        <v>20</v>
      </c>
      <c r="D315" s="27">
        <v>2.0</v>
      </c>
      <c r="E315" s="28">
        <v>800000.0</v>
      </c>
      <c r="F315" s="27">
        <v>0.0</v>
      </c>
      <c r="G315" s="28">
        <v>0.0</v>
      </c>
      <c r="H315" s="27">
        <v>2.0</v>
      </c>
      <c r="I315" s="28">
        <v>800000.0</v>
      </c>
      <c r="J315" s="29">
        <f t="shared" si="2"/>
        <v>400000</v>
      </c>
      <c r="K315" s="30">
        <f t="shared" ref="K315:L315" si="313">H315/12</f>
        <v>0.1666666667</v>
      </c>
      <c r="L315" s="31">
        <f t="shared" si="313"/>
        <v>66666.66667</v>
      </c>
      <c r="M315" s="37">
        <v>0.0</v>
      </c>
      <c r="N315" s="33">
        <f t="shared" si="4"/>
        <v>0.5</v>
      </c>
      <c r="O315" s="34">
        <f t="shared" si="5"/>
        <v>0.5</v>
      </c>
      <c r="P315" s="35">
        <f t="shared" si="6"/>
        <v>0.5</v>
      </c>
      <c r="Q315" s="36"/>
      <c r="R315" s="14"/>
      <c r="S315" s="14"/>
      <c r="T315" s="14"/>
      <c r="U315" s="14"/>
      <c r="V315" s="14"/>
      <c r="W315" s="14"/>
      <c r="X315" s="14"/>
      <c r="Y315" s="14"/>
      <c r="Z315" s="14"/>
    </row>
    <row r="316" ht="12.75" customHeight="1">
      <c r="A316" s="26" t="s">
        <v>346</v>
      </c>
      <c r="B316" s="26" t="s">
        <v>56</v>
      </c>
      <c r="C316" s="26" t="s">
        <v>20</v>
      </c>
      <c r="D316" s="27">
        <v>1.0</v>
      </c>
      <c r="E316" s="28">
        <v>800000.0</v>
      </c>
      <c r="F316" s="27">
        <v>0.0</v>
      </c>
      <c r="G316" s="28">
        <v>0.0</v>
      </c>
      <c r="H316" s="27">
        <v>1.0</v>
      </c>
      <c r="I316" s="28">
        <v>800000.0</v>
      </c>
      <c r="J316" s="29">
        <f t="shared" si="2"/>
        <v>800000</v>
      </c>
      <c r="K316" s="30">
        <f t="shared" ref="K316:L316" si="314">H316/12</f>
        <v>0.08333333333</v>
      </c>
      <c r="L316" s="31">
        <f t="shared" si="314"/>
        <v>66666.66667</v>
      </c>
      <c r="M316" s="32">
        <v>0.0</v>
      </c>
      <c r="N316" s="33">
        <f t="shared" si="4"/>
        <v>0.25</v>
      </c>
      <c r="O316" s="34">
        <f t="shared" si="5"/>
        <v>0.25</v>
      </c>
      <c r="P316" s="35">
        <f t="shared" si="6"/>
        <v>0.25</v>
      </c>
      <c r="Q316" s="36"/>
      <c r="R316" s="14"/>
      <c r="S316" s="14"/>
      <c r="T316" s="14"/>
      <c r="U316" s="14"/>
      <c r="V316" s="14"/>
      <c r="W316" s="14"/>
      <c r="X316" s="14"/>
      <c r="Y316" s="14"/>
      <c r="Z316" s="14"/>
    </row>
    <row r="317" ht="12.75" customHeight="1">
      <c r="A317" s="26" t="s">
        <v>347</v>
      </c>
      <c r="B317" s="26" t="s">
        <v>169</v>
      </c>
      <c r="C317" s="26" t="s">
        <v>36</v>
      </c>
      <c r="D317" s="27">
        <v>22.0</v>
      </c>
      <c r="E317" s="28">
        <v>770000.0</v>
      </c>
      <c r="F317" s="27">
        <v>0.0</v>
      </c>
      <c r="G317" s="28">
        <v>0.0</v>
      </c>
      <c r="H317" s="27">
        <v>22.0</v>
      </c>
      <c r="I317" s="28">
        <v>770000.0</v>
      </c>
      <c r="J317" s="29">
        <f t="shared" si="2"/>
        <v>35000</v>
      </c>
      <c r="K317" s="30">
        <f t="shared" ref="K317:L317" si="315">H317/12</f>
        <v>1.833333333</v>
      </c>
      <c r="L317" s="31">
        <f t="shared" si="315"/>
        <v>64166.66667</v>
      </c>
      <c r="M317" s="37">
        <v>0.0</v>
      </c>
      <c r="N317" s="33">
        <f t="shared" si="4"/>
        <v>5.5</v>
      </c>
      <c r="O317" s="34">
        <f t="shared" si="5"/>
        <v>5.5</v>
      </c>
      <c r="P317" s="35">
        <f t="shared" si="6"/>
        <v>5.5</v>
      </c>
      <c r="Q317" s="36"/>
      <c r="R317" s="14"/>
      <c r="S317" s="14"/>
      <c r="T317" s="14"/>
      <c r="U317" s="14"/>
      <c r="V317" s="14"/>
      <c r="W317" s="14"/>
      <c r="X317" s="14"/>
      <c r="Y317" s="14"/>
      <c r="Z317" s="14"/>
    </row>
    <row r="318" ht="12.75" customHeight="1">
      <c r="A318" s="26" t="s">
        <v>348</v>
      </c>
      <c r="B318" s="26" t="s">
        <v>169</v>
      </c>
      <c r="C318" s="26" t="s">
        <v>36</v>
      </c>
      <c r="D318" s="27">
        <v>1.0</v>
      </c>
      <c r="E318" s="28">
        <v>720000.0</v>
      </c>
      <c r="F318" s="27">
        <v>0.0</v>
      </c>
      <c r="G318" s="28">
        <v>0.0</v>
      </c>
      <c r="H318" s="27">
        <v>1.0</v>
      </c>
      <c r="I318" s="28">
        <v>720000.0</v>
      </c>
      <c r="J318" s="29">
        <f t="shared" si="2"/>
        <v>720000</v>
      </c>
      <c r="K318" s="30">
        <f t="shared" ref="K318:L318" si="316">H318/12</f>
        <v>0.08333333333</v>
      </c>
      <c r="L318" s="31">
        <f t="shared" si="316"/>
        <v>60000</v>
      </c>
      <c r="M318" s="37">
        <v>0.0</v>
      </c>
      <c r="N318" s="33">
        <f t="shared" si="4"/>
        <v>0.25</v>
      </c>
      <c r="O318" s="34">
        <f t="shared" si="5"/>
        <v>0.25</v>
      </c>
      <c r="P318" s="35">
        <f t="shared" si="6"/>
        <v>0.25</v>
      </c>
      <c r="Q318" s="36"/>
      <c r="R318" s="14"/>
      <c r="S318" s="14"/>
      <c r="T318" s="14"/>
      <c r="U318" s="14"/>
      <c r="V318" s="14"/>
      <c r="W318" s="14"/>
      <c r="X318" s="14"/>
      <c r="Y318" s="14"/>
      <c r="Z318" s="14"/>
    </row>
    <row r="319" ht="12.75" customHeight="1">
      <c r="A319" s="26" t="s">
        <v>349</v>
      </c>
      <c r="B319" s="26" t="s">
        <v>169</v>
      </c>
      <c r="C319" s="26" t="s">
        <v>36</v>
      </c>
      <c r="D319" s="27">
        <v>14.0</v>
      </c>
      <c r="E319" s="28">
        <v>715500.0</v>
      </c>
      <c r="F319" s="27">
        <v>0.0</v>
      </c>
      <c r="G319" s="28">
        <v>0.0</v>
      </c>
      <c r="H319" s="27">
        <v>14.0</v>
      </c>
      <c r="I319" s="28">
        <v>715500.0</v>
      </c>
      <c r="J319" s="29">
        <f t="shared" si="2"/>
        <v>51107.14286</v>
      </c>
      <c r="K319" s="30">
        <f t="shared" ref="K319:L319" si="317">H319/12</f>
        <v>1.166666667</v>
      </c>
      <c r="L319" s="31">
        <f t="shared" si="317"/>
        <v>59625</v>
      </c>
      <c r="M319" s="37">
        <v>2.0</v>
      </c>
      <c r="N319" s="33">
        <f t="shared" si="4"/>
        <v>3.5</v>
      </c>
      <c r="O319" s="34">
        <f t="shared" si="5"/>
        <v>1.5</v>
      </c>
      <c r="P319" s="35">
        <f t="shared" si="6"/>
        <v>1.5</v>
      </c>
      <c r="Q319" s="36"/>
      <c r="R319" s="14"/>
      <c r="S319" s="14"/>
      <c r="T319" s="14"/>
      <c r="U319" s="14"/>
      <c r="V319" s="14"/>
      <c r="W319" s="14"/>
      <c r="X319" s="14"/>
      <c r="Y319" s="14"/>
      <c r="Z319" s="14"/>
    </row>
    <row r="320" ht="12.75" customHeight="1">
      <c r="A320" s="26" t="s">
        <v>350</v>
      </c>
      <c r="B320" s="26" t="s">
        <v>169</v>
      </c>
      <c r="C320" s="26" t="s">
        <v>36</v>
      </c>
      <c r="D320" s="27">
        <v>24.0</v>
      </c>
      <c r="E320" s="28">
        <v>712500.0</v>
      </c>
      <c r="F320" s="27">
        <v>0.0</v>
      </c>
      <c r="G320" s="28">
        <v>0.0</v>
      </c>
      <c r="H320" s="27">
        <v>24.0</v>
      </c>
      <c r="I320" s="28">
        <v>712500.0</v>
      </c>
      <c r="J320" s="29">
        <f t="shared" si="2"/>
        <v>29687.5</v>
      </c>
      <c r="K320" s="30">
        <f t="shared" ref="K320:L320" si="318">H320/12</f>
        <v>2</v>
      </c>
      <c r="L320" s="31">
        <f t="shared" si="318"/>
        <v>59375</v>
      </c>
      <c r="M320" s="37">
        <v>451.0</v>
      </c>
      <c r="N320" s="33">
        <f t="shared" si="4"/>
        <v>6</v>
      </c>
      <c r="O320" s="34">
        <f t="shared" si="5"/>
        <v>-445</v>
      </c>
      <c r="P320" s="35" t="str">
        <f t="shared" si="6"/>
        <v/>
      </c>
      <c r="Q320" s="36"/>
      <c r="R320" s="14"/>
      <c r="S320" s="14"/>
      <c r="T320" s="14"/>
      <c r="U320" s="14"/>
      <c r="V320" s="14"/>
      <c r="W320" s="14"/>
      <c r="X320" s="14"/>
      <c r="Y320" s="14"/>
      <c r="Z320" s="14"/>
    </row>
    <row r="321" ht="12.75" customHeight="1">
      <c r="A321" s="26" t="s">
        <v>351</v>
      </c>
      <c r="B321" s="26" t="s">
        <v>169</v>
      </c>
      <c r="C321" s="26" t="s">
        <v>36</v>
      </c>
      <c r="D321" s="27">
        <v>20.0</v>
      </c>
      <c r="E321" s="28">
        <v>700000.0</v>
      </c>
      <c r="F321" s="27">
        <v>0.0</v>
      </c>
      <c r="G321" s="28">
        <v>0.0</v>
      </c>
      <c r="H321" s="27">
        <v>20.0</v>
      </c>
      <c r="I321" s="28">
        <v>700000.0</v>
      </c>
      <c r="J321" s="29">
        <f t="shared" si="2"/>
        <v>35000</v>
      </c>
      <c r="K321" s="30">
        <f t="shared" ref="K321:L321" si="319">H321/12</f>
        <v>1.666666667</v>
      </c>
      <c r="L321" s="31">
        <f t="shared" si="319"/>
        <v>58333.33333</v>
      </c>
      <c r="M321" s="37">
        <v>0.0</v>
      </c>
      <c r="N321" s="33">
        <f t="shared" si="4"/>
        <v>5</v>
      </c>
      <c r="O321" s="34">
        <f t="shared" si="5"/>
        <v>5</v>
      </c>
      <c r="P321" s="35">
        <f t="shared" si="6"/>
        <v>5</v>
      </c>
      <c r="Q321" s="36"/>
      <c r="R321" s="14"/>
      <c r="S321" s="14"/>
      <c r="T321" s="14"/>
      <c r="U321" s="14"/>
      <c r="V321" s="14"/>
      <c r="W321" s="14"/>
      <c r="X321" s="14"/>
      <c r="Y321" s="14"/>
      <c r="Z321" s="14"/>
    </row>
    <row r="322" ht="12.75" customHeight="1">
      <c r="A322" s="26" t="s">
        <v>352</v>
      </c>
      <c r="B322" s="26" t="s">
        <v>169</v>
      </c>
      <c r="C322" s="26" t="s">
        <v>36</v>
      </c>
      <c r="D322" s="27">
        <v>26.0</v>
      </c>
      <c r="E322" s="28">
        <v>676000.0</v>
      </c>
      <c r="F322" s="27">
        <v>0.0</v>
      </c>
      <c r="G322" s="28">
        <v>0.0</v>
      </c>
      <c r="H322" s="27">
        <v>26.0</v>
      </c>
      <c r="I322" s="28">
        <v>676000.0</v>
      </c>
      <c r="J322" s="29">
        <f t="shared" si="2"/>
        <v>26000</v>
      </c>
      <c r="K322" s="30">
        <f t="shared" ref="K322:L322" si="320">H322/12</f>
        <v>2.166666667</v>
      </c>
      <c r="L322" s="31">
        <f t="shared" si="320"/>
        <v>56333.33333</v>
      </c>
      <c r="M322" s="37">
        <v>0.0</v>
      </c>
      <c r="N322" s="33">
        <f t="shared" si="4"/>
        <v>6.5</v>
      </c>
      <c r="O322" s="34">
        <f t="shared" si="5"/>
        <v>6.5</v>
      </c>
      <c r="P322" s="35">
        <f t="shared" si="6"/>
        <v>6.5</v>
      </c>
      <c r="Q322" s="36"/>
      <c r="R322" s="14"/>
      <c r="S322" s="14"/>
      <c r="T322" s="14"/>
      <c r="U322" s="14"/>
      <c r="V322" s="14"/>
      <c r="W322" s="14"/>
      <c r="X322" s="14"/>
      <c r="Y322" s="14"/>
      <c r="Z322" s="14"/>
    </row>
    <row r="323" ht="12.75" customHeight="1">
      <c r="A323" s="26" t="s">
        <v>353</v>
      </c>
      <c r="B323" s="26" t="s">
        <v>169</v>
      </c>
      <c r="C323" s="26" t="s">
        <v>36</v>
      </c>
      <c r="D323" s="27">
        <v>65.0</v>
      </c>
      <c r="E323" s="28">
        <v>660000.0</v>
      </c>
      <c r="F323" s="27">
        <v>0.0</v>
      </c>
      <c r="G323" s="28">
        <v>0.0</v>
      </c>
      <c r="H323" s="27">
        <v>65.0</v>
      </c>
      <c r="I323" s="28">
        <v>660000.0</v>
      </c>
      <c r="J323" s="29">
        <f t="shared" si="2"/>
        <v>10153.84615</v>
      </c>
      <c r="K323" s="30">
        <f t="shared" ref="K323:L323" si="321">H323/12</f>
        <v>5.416666667</v>
      </c>
      <c r="L323" s="31">
        <f t="shared" si="321"/>
        <v>55000</v>
      </c>
      <c r="M323" s="37">
        <v>401.0</v>
      </c>
      <c r="N323" s="33">
        <f t="shared" si="4"/>
        <v>16.25</v>
      </c>
      <c r="O323" s="34">
        <f t="shared" si="5"/>
        <v>-384.75</v>
      </c>
      <c r="P323" s="35" t="str">
        <f t="shared" si="6"/>
        <v/>
      </c>
      <c r="Q323" s="36"/>
      <c r="R323" s="14"/>
      <c r="S323" s="14"/>
      <c r="T323" s="14"/>
      <c r="U323" s="14"/>
      <c r="V323" s="14"/>
      <c r="W323" s="14"/>
      <c r="X323" s="14"/>
      <c r="Y323" s="14"/>
      <c r="Z323" s="14"/>
    </row>
    <row r="324" ht="12.75" customHeight="1">
      <c r="A324" s="26" t="s">
        <v>354</v>
      </c>
      <c r="B324" s="26" t="s">
        <v>169</v>
      </c>
      <c r="C324" s="26" t="s">
        <v>36</v>
      </c>
      <c r="D324" s="27">
        <v>16.0</v>
      </c>
      <c r="E324" s="28">
        <v>585000.0</v>
      </c>
      <c r="F324" s="27">
        <v>0.0</v>
      </c>
      <c r="G324" s="28">
        <v>0.0</v>
      </c>
      <c r="H324" s="27">
        <v>16.0</v>
      </c>
      <c r="I324" s="28">
        <v>585000.0</v>
      </c>
      <c r="J324" s="29">
        <f t="shared" si="2"/>
        <v>36562.5</v>
      </c>
      <c r="K324" s="30">
        <f t="shared" ref="K324:L324" si="322">H324/12</f>
        <v>1.333333333</v>
      </c>
      <c r="L324" s="31">
        <f t="shared" si="322"/>
        <v>48750</v>
      </c>
      <c r="M324" s="32">
        <v>292.0</v>
      </c>
      <c r="N324" s="33">
        <f t="shared" si="4"/>
        <v>4</v>
      </c>
      <c r="O324" s="34">
        <f t="shared" si="5"/>
        <v>-288</v>
      </c>
      <c r="P324" s="35" t="str">
        <f t="shared" si="6"/>
        <v/>
      </c>
      <c r="Q324" s="36"/>
      <c r="R324" s="14"/>
      <c r="S324" s="14"/>
      <c r="T324" s="14"/>
      <c r="U324" s="14"/>
      <c r="V324" s="14"/>
      <c r="W324" s="14"/>
      <c r="X324" s="14"/>
      <c r="Y324" s="14"/>
      <c r="Z324" s="14"/>
    </row>
    <row r="325" ht="12.75" customHeight="1">
      <c r="A325" s="26" t="s">
        <v>355</v>
      </c>
      <c r="B325" s="26" t="s">
        <v>169</v>
      </c>
      <c r="C325" s="26" t="s">
        <v>36</v>
      </c>
      <c r="D325" s="27">
        <v>17.0</v>
      </c>
      <c r="E325" s="28">
        <v>582400.0</v>
      </c>
      <c r="F325" s="27">
        <v>0.0</v>
      </c>
      <c r="G325" s="28">
        <v>0.0</v>
      </c>
      <c r="H325" s="27">
        <v>17.0</v>
      </c>
      <c r="I325" s="28">
        <v>582400.0</v>
      </c>
      <c r="J325" s="29">
        <f t="shared" si="2"/>
        <v>34258.82353</v>
      </c>
      <c r="K325" s="30">
        <f t="shared" ref="K325:L325" si="323">H325/12</f>
        <v>1.416666667</v>
      </c>
      <c r="L325" s="31">
        <f t="shared" si="323"/>
        <v>48533.33333</v>
      </c>
      <c r="M325" s="37">
        <v>3760.0</v>
      </c>
      <c r="N325" s="33">
        <f t="shared" si="4"/>
        <v>4.25</v>
      </c>
      <c r="O325" s="34">
        <f t="shared" si="5"/>
        <v>-3755.75</v>
      </c>
      <c r="P325" s="35" t="str">
        <f t="shared" si="6"/>
        <v/>
      </c>
      <c r="Q325" s="36"/>
      <c r="R325" s="14"/>
      <c r="S325" s="14"/>
      <c r="T325" s="14"/>
      <c r="U325" s="14"/>
      <c r="V325" s="14"/>
      <c r="W325" s="14"/>
      <c r="X325" s="14"/>
      <c r="Y325" s="14"/>
      <c r="Z325" s="14"/>
    </row>
    <row r="326" ht="12.75" customHeight="1">
      <c r="A326" s="26" t="s">
        <v>356</v>
      </c>
      <c r="B326" s="26" t="s">
        <v>35</v>
      </c>
      <c r="C326" s="26" t="s">
        <v>36</v>
      </c>
      <c r="D326" s="27">
        <v>5.0</v>
      </c>
      <c r="E326" s="28">
        <v>550000.0</v>
      </c>
      <c r="F326" s="27">
        <v>0.0</v>
      </c>
      <c r="G326" s="28">
        <v>0.0</v>
      </c>
      <c r="H326" s="27">
        <v>5.0</v>
      </c>
      <c r="I326" s="28">
        <v>550000.0</v>
      </c>
      <c r="J326" s="29">
        <f t="shared" si="2"/>
        <v>110000</v>
      </c>
      <c r="K326" s="30">
        <f t="shared" ref="K326:L326" si="324">H326/12</f>
        <v>0.4166666667</v>
      </c>
      <c r="L326" s="31">
        <f t="shared" si="324"/>
        <v>45833.33333</v>
      </c>
      <c r="M326" s="37">
        <v>0.0</v>
      </c>
      <c r="N326" s="33">
        <f t="shared" si="4"/>
        <v>1.25</v>
      </c>
      <c r="O326" s="34">
        <f t="shared" si="5"/>
        <v>1.25</v>
      </c>
      <c r="P326" s="35">
        <f t="shared" si="6"/>
        <v>1.25</v>
      </c>
      <c r="Q326" s="36"/>
      <c r="R326" s="14"/>
      <c r="S326" s="14"/>
      <c r="T326" s="14"/>
      <c r="U326" s="14"/>
      <c r="V326" s="14"/>
      <c r="W326" s="14"/>
      <c r="X326" s="14"/>
      <c r="Y326" s="14"/>
      <c r="Z326" s="14"/>
    </row>
    <row r="327" ht="12.75" customHeight="1">
      <c r="A327" s="26" t="s">
        <v>357</v>
      </c>
      <c r="B327" s="26" t="s">
        <v>19</v>
      </c>
      <c r="C327" s="26" t="s">
        <v>20</v>
      </c>
      <c r="D327" s="27">
        <v>1.0</v>
      </c>
      <c r="E327" s="28">
        <v>500000.0</v>
      </c>
      <c r="F327" s="27">
        <v>0.0</v>
      </c>
      <c r="G327" s="28">
        <v>0.0</v>
      </c>
      <c r="H327" s="27">
        <v>1.0</v>
      </c>
      <c r="I327" s="28">
        <v>500000.0</v>
      </c>
      <c r="J327" s="29">
        <f t="shared" si="2"/>
        <v>500000</v>
      </c>
      <c r="K327" s="30">
        <f t="shared" ref="K327:L327" si="325">H327/12</f>
        <v>0.08333333333</v>
      </c>
      <c r="L327" s="31">
        <f t="shared" si="325"/>
        <v>41666.66667</v>
      </c>
      <c r="M327" s="37">
        <v>0.0</v>
      </c>
      <c r="N327" s="33">
        <f t="shared" si="4"/>
        <v>0.25</v>
      </c>
      <c r="O327" s="34">
        <f t="shared" si="5"/>
        <v>0.25</v>
      </c>
      <c r="P327" s="35">
        <f t="shared" si="6"/>
        <v>0.25</v>
      </c>
      <c r="Q327" s="36"/>
      <c r="R327" s="14"/>
      <c r="S327" s="14"/>
      <c r="T327" s="14"/>
      <c r="U327" s="14"/>
      <c r="V327" s="14"/>
      <c r="W327" s="14"/>
      <c r="X327" s="14"/>
      <c r="Y327" s="14"/>
      <c r="Z327" s="14"/>
    </row>
    <row r="328" ht="12.75" customHeight="1">
      <c r="A328" s="26" t="s">
        <v>358</v>
      </c>
      <c r="B328" s="26" t="s">
        <v>169</v>
      </c>
      <c r="C328" s="26" t="s">
        <v>36</v>
      </c>
      <c r="D328" s="27">
        <v>1.0</v>
      </c>
      <c r="E328" s="28">
        <v>500000.0</v>
      </c>
      <c r="F328" s="27">
        <v>0.0</v>
      </c>
      <c r="G328" s="28">
        <v>0.0</v>
      </c>
      <c r="H328" s="27">
        <v>1.0</v>
      </c>
      <c r="I328" s="28">
        <v>500000.0</v>
      </c>
      <c r="J328" s="29">
        <f t="shared" si="2"/>
        <v>500000</v>
      </c>
      <c r="K328" s="30">
        <f t="shared" ref="K328:L328" si="326">H328/12</f>
        <v>0.08333333333</v>
      </c>
      <c r="L328" s="31">
        <f t="shared" si="326"/>
        <v>41666.66667</v>
      </c>
      <c r="M328" s="37">
        <v>0.0</v>
      </c>
      <c r="N328" s="33">
        <f t="shared" si="4"/>
        <v>0.25</v>
      </c>
      <c r="O328" s="34">
        <f t="shared" si="5"/>
        <v>0.25</v>
      </c>
      <c r="P328" s="35">
        <f t="shared" si="6"/>
        <v>0.25</v>
      </c>
      <c r="Q328" s="36"/>
      <c r="R328" s="14"/>
      <c r="S328" s="14"/>
      <c r="T328" s="14"/>
      <c r="U328" s="14"/>
      <c r="V328" s="14"/>
      <c r="W328" s="14"/>
      <c r="X328" s="14"/>
      <c r="Y328" s="14"/>
      <c r="Z328" s="14"/>
    </row>
    <row r="329" ht="12.75" customHeight="1">
      <c r="A329" s="26" t="s">
        <v>359</v>
      </c>
      <c r="B329" s="26" t="s">
        <v>25</v>
      </c>
      <c r="C329" s="26" t="s">
        <v>20</v>
      </c>
      <c r="D329" s="27">
        <v>1.0</v>
      </c>
      <c r="E329" s="28">
        <v>500000.0</v>
      </c>
      <c r="F329" s="27">
        <v>0.0</v>
      </c>
      <c r="G329" s="28">
        <v>0.0</v>
      </c>
      <c r="H329" s="27">
        <v>1.0</v>
      </c>
      <c r="I329" s="28">
        <v>500000.0</v>
      </c>
      <c r="J329" s="29">
        <f t="shared" si="2"/>
        <v>500000</v>
      </c>
      <c r="K329" s="30">
        <f t="shared" ref="K329:L329" si="327">H329/12</f>
        <v>0.08333333333</v>
      </c>
      <c r="L329" s="31">
        <f t="shared" si="327"/>
        <v>41666.66667</v>
      </c>
      <c r="M329" s="37">
        <v>0.0</v>
      </c>
      <c r="N329" s="33">
        <f t="shared" si="4"/>
        <v>0.25</v>
      </c>
      <c r="O329" s="34">
        <f t="shared" si="5"/>
        <v>0.25</v>
      </c>
      <c r="P329" s="35">
        <f t="shared" si="6"/>
        <v>0.25</v>
      </c>
      <c r="Q329" s="36"/>
      <c r="R329" s="14"/>
      <c r="S329" s="14"/>
      <c r="T329" s="14"/>
      <c r="U329" s="14"/>
      <c r="V329" s="14"/>
      <c r="W329" s="14"/>
      <c r="X329" s="14"/>
      <c r="Y329" s="14"/>
      <c r="Z329" s="14"/>
    </row>
    <row r="330" ht="12.75" customHeight="1">
      <c r="A330" s="26" t="s">
        <v>360</v>
      </c>
      <c r="B330" s="26" t="s">
        <v>25</v>
      </c>
      <c r="C330" s="26" t="s">
        <v>20</v>
      </c>
      <c r="D330" s="27">
        <v>1.0</v>
      </c>
      <c r="E330" s="28">
        <v>500000.0</v>
      </c>
      <c r="F330" s="27">
        <v>0.0</v>
      </c>
      <c r="G330" s="28">
        <v>0.0</v>
      </c>
      <c r="H330" s="27">
        <v>1.0</v>
      </c>
      <c r="I330" s="28">
        <v>500000.0</v>
      </c>
      <c r="J330" s="29">
        <f t="shared" si="2"/>
        <v>500000</v>
      </c>
      <c r="K330" s="30">
        <f t="shared" ref="K330:L330" si="328">H330/12</f>
        <v>0.08333333333</v>
      </c>
      <c r="L330" s="31">
        <f t="shared" si="328"/>
        <v>41666.66667</v>
      </c>
      <c r="M330" s="37">
        <v>0.0</v>
      </c>
      <c r="N330" s="33">
        <f t="shared" si="4"/>
        <v>0.25</v>
      </c>
      <c r="O330" s="34">
        <f t="shared" si="5"/>
        <v>0.25</v>
      </c>
      <c r="P330" s="35">
        <f t="shared" si="6"/>
        <v>0.25</v>
      </c>
      <c r="Q330" s="36"/>
      <c r="R330" s="14"/>
      <c r="S330" s="14"/>
      <c r="T330" s="14"/>
      <c r="U330" s="14"/>
      <c r="V330" s="14"/>
      <c r="W330" s="14"/>
      <c r="X330" s="14"/>
      <c r="Y330" s="14"/>
      <c r="Z330" s="14"/>
    </row>
    <row r="331" ht="12.75" customHeight="1">
      <c r="A331" s="26" t="s">
        <v>361</v>
      </c>
      <c r="B331" s="26" t="s">
        <v>169</v>
      </c>
      <c r="C331" s="26" t="s">
        <v>36</v>
      </c>
      <c r="D331" s="27">
        <v>3.0</v>
      </c>
      <c r="E331" s="28">
        <v>480000.0</v>
      </c>
      <c r="F331" s="27">
        <v>0.0</v>
      </c>
      <c r="G331" s="28">
        <v>0.0</v>
      </c>
      <c r="H331" s="27">
        <v>3.0</v>
      </c>
      <c r="I331" s="28">
        <v>480000.0</v>
      </c>
      <c r="J331" s="29">
        <f t="shared" si="2"/>
        <v>160000</v>
      </c>
      <c r="K331" s="30">
        <f t="shared" ref="K331:L331" si="329">H331/12</f>
        <v>0.25</v>
      </c>
      <c r="L331" s="31">
        <f t="shared" si="329"/>
        <v>40000</v>
      </c>
      <c r="M331" s="37">
        <v>0.0</v>
      </c>
      <c r="N331" s="33">
        <f t="shared" si="4"/>
        <v>0.75</v>
      </c>
      <c r="O331" s="34">
        <f t="shared" si="5"/>
        <v>0.75</v>
      </c>
      <c r="P331" s="35">
        <f t="shared" si="6"/>
        <v>0.75</v>
      </c>
      <c r="Q331" s="36"/>
      <c r="R331" s="14"/>
      <c r="S331" s="14"/>
      <c r="T331" s="14"/>
      <c r="U331" s="14"/>
      <c r="V331" s="14"/>
      <c r="W331" s="14"/>
      <c r="X331" s="14"/>
      <c r="Y331" s="14"/>
      <c r="Z331" s="14"/>
    </row>
    <row r="332" ht="12.75" customHeight="1">
      <c r="A332" s="26" t="s">
        <v>362</v>
      </c>
      <c r="B332" s="26" t="s">
        <v>169</v>
      </c>
      <c r="C332" s="26" t="s">
        <v>36</v>
      </c>
      <c r="D332" s="27">
        <v>32.0</v>
      </c>
      <c r="E332" s="28">
        <v>455500.0</v>
      </c>
      <c r="F332" s="27">
        <v>0.0</v>
      </c>
      <c r="G332" s="28">
        <v>0.0</v>
      </c>
      <c r="H332" s="27">
        <v>32.0</v>
      </c>
      <c r="I332" s="28">
        <v>455500.0</v>
      </c>
      <c r="J332" s="29">
        <f t="shared" si="2"/>
        <v>14234.375</v>
      </c>
      <c r="K332" s="30">
        <f t="shared" ref="K332:L332" si="330">H332/12</f>
        <v>2.666666667</v>
      </c>
      <c r="L332" s="31">
        <f t="shared" si="330"/>
        <v>37958.33333</v>
      </c>
      <c r="M332" s="32">
        <v>83.0</v>
      </c>
      <c r="N332" s="33">
        <f t="shared" si="4"/>
        <v>8</v>
      </c>
      <c r="O332" s="34">
        <f t="shared" si="5"/>
        <v>-75</v>
      </c>
      <c r="P332" s="35" t="str">
        <f t="shared" si="6"/>
        <v/>
      </c>
      <c r="Q332" s="36"/>
      <c r="R332" s="14"/>
      <c r="S332" s="14"/>
      <c r="T332" s="14"/>
      <c r="U332" s="14"/>
      <c r="V332" s="14"/>
      <c r="W332" s="14"/>
      <c r="X332" s="14"/>
      <c r="Y332" s="14"/>
      <c r="Z332" s="14"/>
    </row>
    <row r="333" ht="12.75" customHeight="1">
      <c r="A333" s="26" t="s">
        <v>363</v>
      </c>
      <c r="B333" s="26" t="s">
        <v>169</v>
      </c>
      <c r="C333" s="26" t="s">
        <v>36</v>
      </c>
      <c r="D333" s="27">
        <v>10.0</v>
      </c>
      <c r="E333" s="28">
        <v>399000.0</v>
      </c>
      <c r="F333" s="27">
        <v>0.0</v>
      </c>
      <c r="G333" s="28">
        <v>0.0</v>
      </c>
      <c r="H333" s="27">
        <v>10.0</v>
      </c>
      <c r="I333" s="28">
        <v>399000.0</v>
      </c>
      <c r="J333" s="29">
        <f t="shared" si="2"/>
        <v>39900</v>
      </c>
      <c r="K333" s="30">
        <f t="shared" ref="K333:L333" si="331">H333/12</f>
        <v>0.8333333333</v>
      </c>
      <c r="L333" s="31">
        <f t="shared" si="331"/>
        <v>33250</v>
      </c>
      <c r="M333" s="37">
        <v>1.0</v>
      </c>
      <c r="N333" s="33">
        <f t="shared" si="4"/>
        <v>2.5</v>
      </c>
      <c r="O333" s="34">
        <f t="shared" si="5"/>
        <v>1.5</v>
      </c>
      <c r="P333" s="35">
        <f t="shared" si="6"/>
        <v>1.5</v>
      </c>
      <c r="Q333" s="36"/>
      <c r="R333" s="14"/>
      <c r="S333" s="14"/>
      <c r="T333" s="14"/>
      <c r="U333" s="14"/>
      <c r="V333" s="14"/>
      <c r="W333" s="14"/>
      <c r="X333" s="14"/>
      <c r="Y333" s="14"/>
      <c r="Z333" s="14"/>
    </row>
    <row r="334" ht="12.75" customHeight="1">
      <c r="A334" s="26" t="s">
        <v>364</v>
      </c>
      <c r="B334" s="26" t="s">
        <v>169</v>
      </c>
      <c r="C334" s="26" t="s">
        <v>36</v>
      </c>
      <c r="D334" s="27">
        <v>1.0</v>
      </c>
      <c r="E334" s="28">
        <v>350000.0</v>
      </c>
      <c r="F334" s="27">
        <v>0.0</v>
      </c>
      <c r="G334" s="28">
        <v>0.0</v>
      </c>
      <c r="H334" s="27">
        <v>1.0</v>
      </c>
      <c r="I334" s="28">
        <v>350000.0</v>
      </c>
      <c r="J334" s="29">
        <f t="shared" si="2"/>
        <v>350000</v>
      </c>
      <c r="K334" s="30">
        <f t="shared" ref="K334:L334" si="332">H334/12</f>
        <v>0.08333333333</v>
      </c>
      <c r="L334" s="31">
        <f t="shared" si="332"/>
        <v>29166.66667</v>
      </c>
      <c r="M334" s="37">
        <v>0.0</v>
      </c>
      <c r="N334" s="33">
        <f t="shared" si="4"/>
        <v>0.25</v>
      </c>
      <c r="O334" s="34">
        <f t="shared" si="5"/>
        <v>0.25</v>
      </c>
      <c r="P334" s="35">
        <f t="shared" si="6"/>
        <v>0.25</v>
      </c>
      <c r="Q334" s="36"/>
      <c r="R334" s="14"/>
      <c r="S334" s="14"/>
      <c r="T334" s="14"/>
      <c r="U334" s="14"/>
      <c r="V334" s="14"/>
      <c r="W334" s="14"/>
      <c r="X334" s="14"/>
      <c r="Y334" s="14"/>
      <c r="Z334" s="14"/>
    </row>
    <row r="335" ht="12.75" customHeight="1">
      <c r="A335" s="26" t="s">
        <v>365</v>
      </c>
      <c r="B335" s="26" t="s">
        <v>169</v>
      </c>
      <c r="C335" s="26" t="s">
        <v>36</v>
      </c>
      <c r="D335" s="27">
        <v>1.0</v>
      </c>
      <c r="E335" s="28">
        <v>350000.0</v>
      </c>
      <c r="F335" s="27">
        <v>0.0</v>
      </c>
      <c r="G335" s="28">
        <v>0.0</v>
      </c>
      <c r="H335" s="27">
        <v>1.0</v>
      </c>
      <c r="I335" s="28">
        <v>350000.0</v>
      </c>
      <c r="J335" s="29">
        <f t="shared" si="2"/>
        <v>350000</v>
      </c>
      <c r="K335" s="30">
        <f t="shared" ref="K335:L335" si="333">H335/12</f>
        <v>0.08333333333</v>
      </c>
      <c r="L335" s="31">
        <f t="shared" si="333"/>
        <v>29166.66667</v>
      </c>
      <c r="M335" s="32">
        <v>0.0</v>
      </c>
      <c r="N335" s="33">
        <f t="shared" si="4"/>
        <v>0.25</v>
      </c>
      <c r="O335" s="34">
        <f t="shared" si="5"/>
        <v>0.25</v>
      </c>
      <c r="P335" s="35">
        <f t="shared" si="6"/>
        <v>0.25</v>
      </c>
      <c r="Q335" s="36"/>
      <c r="R335" s="14"/>
      <c r="S335" s="14"/>
      <c r="T335" s="14"/>
      <c r="U335" s="14"/>
      <c r="V335" s="14"/>
      <c r="W335" s="14"/>
      <c r="X335" s="14"/>
      <c r="Y335" s="14"/>
      <c r="Z335" s="14"/>
    </row>
    <row r="336" ht="12.75" customHeight="1">
      <c r="A336" s="26" t="s">
        <v>366</v>
      </c>
      <c r="B336" s="26" t="s">
        <v>169</v>
      </c>
      <c r="C336" s="26" t="s">
        <v>36</v>
      </c>
      <c r="D336" s="27">
        <v>2.0</v>
      </c>
      <c r="E336" s="28">
        <v>300000.0</v>
      </c>
      <c r="F336" s="27">
        <v>0.0</v>
      </c>
      <c r="G336" s="28">
        <v>0.0</v>
      </c>
      <c r="H336" s="27">
        <v>2.0</v>
      </c>
      <c r="I336" s="28">
        <v>300000.0</v>
      </c>
      <c r="J336" s="29">
        <f t="shared" si="2"/>
        <v>150000</v>
      </c>
      <c r="K336" s="30">
        <f t="shared" ref="K336:L336" si="334">H336/12</f>
        <v>0.1666666667</v>
      </c>
      <c r="L336" s="31">
        <f t="shared" si="334"/>
        <v>25000</v>
      </c>
      <c r="M336" s="32">
        <v>0.0</v>
      </c>
      <c r="N336" s="33">
        <f t="shared" si="4"/>
        <v>0.5</v>
      </c>
      <c r="O336" s="34">
        <f t="shared" si="5"/>
        <v>0.5</v>
      </c>
      <c r="P336" s="35">
        <f t="shared" si="6"/>
        <v>0.5</v>
      </c>
      <c r="Q336" s="36"/>
      <c r="R336" s="14"/>
      <c r="S336" s="14"/>
      <c r="T336" s="14"/>
      <c r="U336" s="14"/>
      <c r="V336" s="14"/>
      <c r="W336" s="14"/>
      <c r="X336" s="14"/>
      <c r="Y336" s="14"/>
      <c r="Z336" s="14"/>
    </row>
    <row r="337" ht="12.75" customHeight="1">
      <c r="A337" s="26" t="s">
        <v>367</v>
      </c>
      <c r="B337" s="26" t="s">
        <v>169</v>
      </c>
      <c r="C337" s="26" t="s">
        <v>36</v>
      </c>
      <c r="D337" s="27">
        <v>1.0</v>
      </c>
      <c r="E337" s="28">
        <v>280000.0</v>
      </c>
      <c r="F337" s="27">
        <v>0.0</v>
      </c>
      <c r="G337" s="28">
        <v>0.0</v>
      </c>
      <c r="H337" s="27">
        <v>1.0</v>
      </c>
      <c r="I337" s="28">
        <v>280000.0</v>
      </c>
      <c r="J337" s="29">
        <f t="shared" si="2"/>
        <v>280000</v>
      </c>
      <c r="K337" s="30">
        <f t="shared" ref="K337:L337" si="335">H337/12</f>
        <v>0.08333333333</v>
      </c>
      <c r="L337" s="31">
        <f t="shared" si="335"/>
        <v>23333.33333</v>
      </c>
      <c r="M337" s="37">
        <v>0.0</v>
      </c>
      <c r="N337" s="33">
        <f t="shared" si="4"/>
        <v>0.25</v>
      </c>
      <c r="O337" s="34">
        <f t="shared" si="5"/>
        <v>0.25</v>
      </c>
      <c r="P337" s="35">
        <f t="shared" si="6"/>
        <v>0.25</v>
      </c>
      <c r="Q337" s="36"/>
      <c r="R337" s="14"/>
      <c r="S337" s="14"/>
      <c r="T337" s="14"/>
      <c r="U337" s="14"/>
      <c r="V337" s="14"/>
      <c r="W337" s="14"/>
      <c r="X337" s="14"/>
      <c r="Y337" s="14"/>
      <c r="Z337" s="14"/>
    </row>
    <row r="338" ht="12.75" customHeight="1">
      <c r="A338" s="26" t="s">
        <v>368</v>
      </c>
      <c r="B338" s="26" t="s">
        <v>169</v>
      </c>
      <c r="C338" s="26" t="s">
        <v>36</v>
      </c>
      <c r="D338" s="27">
        <v>6.0</v>
      </c>
      <c r="E338" s="28">
        <v>276000.0</v>
      </c>
      <c r="F338" s="27">
        <v>0.0</v>
      </c>
      <c r="G338" s="28">
        <v>0.0</v>
      </c>
      <c r="H338" s="27">
        <v>6.0</v>
      </c>
      <c r="I338" s="28">
        <v>276000.0</v>
      </c>
      <c r="J338" s="29">
        <f t="shared" si="2"/>
        <v>46000</v>
      </c>
      <c r="K338" s="30">
        <f t="shared" ref="K338:L338" si="336">H338/12</f>
        <v>0.5</v>
      </c>
      <c r="L338" s="31">
        <f t="shared" si="336"/>
        <v>23000</v>
      </c>
      <c r="M338" s="37">
        <v>0.0</v>
      </c>
      <c r="N338" s="33">
        <f t="shared" si="4"/>
        <v>1.5</v>
      </c>
      <c r="O338" s="34">
        <f t="shared" si="5"/>
        <v>1.5</v>
      </c>
      <c r="P338" s="35">
        <f t="shared" si="6"/>
        <v>1.5</v>
      </c>
      <c r="Q338" s="36"/>
      <c r="R338" s="14"/>
      <c r="S338" s="14"/>
      <c r="T338" s="14"/>
      <c r="U338" s="14"/>
      <c r="V338" s="14"/>
      <c r="W338" s="14"/>
      <c r="X338" s="14"/>
      <c r="Y338" s="14"/>
      <c r="Z338" s="14"/>
    </row>
    <row r="339" ht="12.75" customHeight="1">
      <c r="A339" s="26" t="s">
        <v>369</v>
      </c>
      <c r="B339" s="26" t="s">
        <v>169</v>
      </c>
      <c r="C339" s="26" t="s">
        <v>36</v>
      </c>
      <c r="D339" s="27">
        <v>1.0</v>
      </c>
      <c r="E339" s="28">
        <v>250000.0</v>
      </c>
      <c r="F339" s="27">
        <v>0.0</v>
      </c>
      <c r="G339" s="28">
        <v>0.0</v>
      </c>
      <c r="H339" s="27">
        <v>1.0</v>
      </c>
      <c r="I339" s="28">
        <v>250000.0</v>
      </c>
      <c r="J339" s="29">
        <f t="shared" si="2"/>
        <v>250000</v>
      </c>
      <c r="K339" s="30">
        <f t="shared" ref="K339:L339" si="337">H339/12</f>
        <v>0.08333333333</v>
      </c>
      <c r="L339" s="31">
        <f t="shared" si="337"/>
        <v>20833.33333</v>
      </c>
      <c r="M339" s="37">
        <v>0.0</v>
      </c>
      <c r="N339" s="33">
        <f t="shared" si="4"/>
        <v>0.25</v>
      </c>
      <c r="O339" s="34">
        <f t="shared" si="5"/>
        <v>0.25</v>
      </c>
      <c r="P339" s="35">
        <f t="shared" si="6"/>
        <v>0.25</v>
      </c>
      <c r="Q339" s="36"/>
      <c r="R339" s="14"/>
      <c r="S339" s="14"/>
      <c r="T339" s="14"/>
      <c r="U339" s="14"/>
      <c r="V339" s="14"/>
      <c r="W339" s="14"/>
      <c r="X339" s="14"/>
      <c r="Y339" s="14"/>
      <c r="Z339" s="14"/>
    </row>
    <row r="340" ht="12.75" customHeight="1">
      <c r="A340" s="26" t="s">
        <v>370</v>
      </c>
      <c r="B340" s="26" t="s">
        <v>169</v>
      </c>
      <c r="C340" s="26" t="s">
        <v>36</v>
      </c>
      <c r="D340" s="27">
        <v>10.0</v>
      </c>
      <c r="E340" s="28">
        <v>250000.0</v>
      </c>
      <c r="F340" s="27">
        <v>0.0</v>
      </c>
      <c r="G340" s="28">
        <v>0.0</v>
      </c>
      <c r="H340" s="27">
        <v>10.0</v>
      </c>
      <c r="I340" s="28">
        <v>250000.0</v>
      </c>
      <c r="J340" s="29">
        <f t="shared" si="2"/>
        <v>25000</v>
      </c>
      <c r="K340" s="30">
        <f t="shared" ref="K340:L340" si="338">H340/12</f>
        <v>0.8333333333</v>
      </c>
      <c r="L340" s="31">
        <f t="shared" si="338"/>
        <v>20833.33333</v>
      </c>
      <c r="M340" s="37">
        <v>0.0</v>
      </c>
      <c r="N340" s="33">
        <f t="shared" si="4"/>
        <v>2.5</v>
      </c>
      <c r="O340" s="34">
        <f t="shared" si="5"/>
        <v>2.5</v>
      </c>
      <c r="P340" s="35">
        <f t="shared" si="6"/>
        <v>2.5</v>
      </c>
      <c r="Q340" s="36"/>
      <c r="R340" s="14"/>
      <c r="S340" s="14"/>
      <c r="T340" s="14"/>
      <c r="U340" s="14"/>
      <c r="V340" s="14"/>
      <c r="W340" s="14"/>
      <c r="X340" s="14"/>
      <c r="Y340" s="14"/>
      <c r="Z340" s="14"/>
    </row>
    <row r="341" ht="12.75" customHeight="1">
      <c r="A341" s="26" t="s">
        <v>371</v>
      </c>
      <c r="B341" s="26" t="s">
        <v>169</v>
      </c>
      <c r="C341" s="26" t="s">
        <v>36</v>
      </c>
      <c r="D341" s="27">
        <v>1.0</v>
      </c>
      <c r="E341" s="28">
        <v>200000.0</v>
      </c>
      <c r="F341" s="27">
        <v>0.0</v>
      </c>
      <c r="G341" s="28">
        <v>0.0</v>
      </c>
      <c r="H341" s="27">
        <v>1.0</v>
      </c>
      <c r="I341" s="28">
        <v>200000.0</v>
      </c>
      <c r="J341" s="29">
        <f t="shared" si="2"/>
        <v>200000</v>
      </c>
      <c r="K341" s="30">
        <f t="shared" ref="K341:L341" si="339">H341/12</f>
        <v>0.08333333333</v>
      </c>
      <c r="L341" s="31">
        <f t="shared" si="339"/>
        <v>16666.66667</v>
      </c>
      <c r="M341" s="32">
        <v>0.0</v>
      </c>
      <c r="N341" s="33">
        <f t="shared" si="4"/>
        <v>0.25</v>
      </c>
      <c r="O341" s="34">
        <f t="shared" si="5"/>
        <v>0.25</v>
      </c>
      <c r="P341" s="35">
        <f t="shared" si="6"/>
        <v>0.25</v>
      </c>
      <c r="Q341" s="36"/>
      <c r="R341" s="14"/>
      <c r="S341" s="14"/>
      <c r="T341" s="14"/>
      <c r="U341" s="14"/>
      <c r="V341" s="14"/>
      <c r="W341" s="14"/>
      <c r="X341" s="14"/>
      <c r="Y341" s="14"/>
      <c r="Z341" s="14"/>
    </row>
    <row r="342" ht="12.75" customHeight="1">
      <c r="A342" s="26" t="s">
        <v>372</v>
      </c>
      <c r="B342" s="26" t="s">
        <v>31</v>
      </c>
      <c r="C342" s="26" t="s">
        <v>20</v>
      </c>
      <c r="D342" s="27">
        <v>2.0</v>
      </c>
      <c r="E342" s="28">
        <v>186000.0</v>
      </c>
      <c r="F342" s="27">
        <v>0.0</v>
      </c>
      <c r="G342" s="28">
        <v>0.0</v>
      </c>
      <c r="H342" s="27">
        <v>2.0</v>
      </c>
      <c r="I342" s="28">
        <v>186000.0</v>
      </c>
      <c r="J342" s="29">
        <f t="shared" si="2"/>
        <v>93000</v>
      </c>
      <c r="K342" s="30">
        <f t="shared" ref="K342:L342" si="340">H342/12</f>
        <v>0.1666666667</v>
      </c>
      <c r="L342" s="31">
        <f t="shared" si="340"/>
        <v>15500</v>
      </c>
      <c r="M342" s="37">
        <v>1.0</v>
      </c>
      <c r="N342" s="33">
        <f t="shared" si="4"/>
        <v>0.5</v>
      </c>
      <c r="O342" s="34">
        <f t="shared" si="5"/>
        <v>-0.5</v>
      </c>
      <c r="P342" s="35" t="str">
        <f t="shared" si="6"/>
        <v/>
      </c>
      <c r="Q342" s="36"/>
      <c r="R342" s="14"/>
      <c r="S342" s="14"/>
      <c r="T342" s="14"/>
      <c r="U342" s="14"/>
      <c r="V342" s="14"/>
      <c r="W342" s="14"/>
      <c r="X342" s="14"/>
      <c r="Y342" s="14"/>
      <c r="Z342" s="14"/>
    </row>
    <row r="343" ht="12.75" customHeight="1">
      <c r="A343" s="26" t="s">
        <v>373</v>
      </c>
      <c r="B343" s="26" t="s">
        <v>169</v>
      </c>
      <c r="C343" s="26" t="s">
        <v>36</v>
      </c>
      <c r="D343" s="27">
        <v>5.0</v>
      </c>
      <c r="E343" s="28">
        <v>175000.0</v>
      </c>
      <c r="F343" s="27">
        <v>0.0</v>
      </c>
      <c r="G343" s="28">
        <v>0.0</v>
      </c>
      <c r="H343" s="27">
        <v>5.0</v>
      </c>
      <c r="I343" s="28">
        <v>175000.0</v>
      </c>
      <c r="J343" s="29">
        <f t="shared" si="2"/>
        <v>35000</v>
      </c>
      <c r="K343" s="30">
        <f t="shared" ref="K343:L343" si="341">H343/12</f>
        <v>0.4166666667</v>
      </c>
      <c r="L343" s="31">
        <f t="shared" si="341"/>
        <v>14583.33333</v>
      </c>
      <c r="M343" s="37">
        <v>0.0</v>
      </c>
      <c r="N343" s="33">
        <f t="shared" si="4"/>
        <v>1.25</v>
      </c>
      <c r="O343" s="34">
        <f t="shared" si="5"/>
        <v>1.25</v>
      </c>
      <c r="P343" s="35">
        <f t="shared" si="6"/>
        <v>1.25</v>
      </c>
      <c r="Q343" s="36"/>
      <c r="R343" s="14"/>
      <c r="S343" s="14"/>
      <c r="T343" s="14"/>
      <c r="U343" s="14"/>
      <c r="V343" s="14"/>
      <c r="W343" s="14"/>
      <c r="X343" s="14"/>
      <c r="Y343" s="14"/>
      <c r="Z343" s="14"/>
    </row>
    <row r="344" ht="12.75" customHeight="1">
      <c r="A344" s="26" t="s">
        <v>374</v>
      </c>
      <c r="B344" s="26" t="s">
        <v>169</v>
      </c>
      <c r="C344" s="26" t="s">
        <v>203</v>
      </c>
      <c r="D344" s="27">
        <v>77.0</v>
      </c>
      <c r="E344" s="28">
        <v>150000.0</v>
      </c>
      <c r="F344" s="27">
        <v>0.0</v>
      </c>
      <c r="G344" s="28">
        <v>0.0</v>
      </c>
      <c r="H344" s="27">
        <v>77.0</v>
      </c>
      <c r="I344" s="28">
        <v>150000.0</v>
      </c>
      <c r="J344" s="29">
        <f t="shared" si="2"/>
        <v>1948.051948</v>
      </c>
      <c r="K344" s="30">
        <f t="shared" ref="K344:L344" si="342">H344/12</f>
        <v>6.416666667</v>
      </c>
      <c r="L344" s="31">
        <f t="shared" si="342"/>
        <v>12500</v>
      </c>
      <c r="M344" s="37">
        <v>1.0</v>
      </c>
      <c r="N344" s="33">
        <f t="shared" si="4"/>
        <v>19.25</v>
      </c>
      <c r="O344" s="34">
        <f t="shared" si="5"/>
        <v>18.25</v>
      </c>
      <c r="P344" s="35">
        <f t="shared" si="6"/>
        <v>18.25</v>
      </c>
      <c r="Q344" s="36"/>
      <c r="R344" s="14"/>
      <c r="S344" s="14"/>
      <c r="T344" s="14"/>
      <c r="U344" s="14"/>
      <c r="V344" s="14"/>
      <c r="W344" s="14"/>
      <c r="X344" s="14"/>
      <c r="Y344" s="14"/>
      <c r="Z344" s="14"/>
    </row>
    <row r="345" ht="12.75" customHeight="1">
      <c r="A345" s="26" t="s">
        <v>375</v>
      </c>
      <c r="B345" s="26" t="s">
        <v>169</v>
      </c>
      <c r="C345" s="26" t="s">
        <v>36</v>
      </c>
      <c r="D345" s="27">
        <v>1.0</v>
      </c>
      <c r="E345" s="28">
        <v>150000.0</v>
      </c>
      <c r="F345" s="27">
        <v>0.0</v>
      </c>
      <c r="G345" s="28">
        <v>0.0</v>
      </c>
      <c r="H345" s="27">
        <v>1.0</v>
      </c>
      <c r="I345" s="28">
        <v>150000.0</v>
      </c>
      <c r="J345" s="29">
        <f t="shared" si="2"/>
        <v>150000</v>
      </c>
      <c r="K345" s="30">
        <f t="shared" ref="K345:L345" si="343">H345/12</f>
        <v>0.08333333333</v>
      </c>
      <c r="L345" s="31">
        <f t="shared" si="343"/>
        <v>12500</v>
      </c>
      <c r="M345" s="32">
        <v>0.0</v>
      </c>
      <c r="N345" s="33">
        <f t="shared" si="4"/>
        <v>0.25</v>
      </c>
      <c r="O345" s="34">
        <f t="shared" si="5"/>
        <v>0.25</v>
      </c>
      <c r="P345" s="35">
        <f t="shared" si="6"/>
        <v>0.25</v>
      </c>
      <c r="Q345" s="36"/>
      <c r="R345" s="14"/>
      <c r="S345" s="14"/>
      <c r="T345" s="14"/>
      <c r="U345" s="14"/>
      <c r="V345" s="14"/>
      <c r="W345" s="14"/>
      <c r="X345" s="14"/>
      <c r="Y345" s="14"/>
      <c r="Z345" s="14"/>
    </row>
    <row r="346" ht="12.75" customHeight="1">
      <c r="A346" s="26" t="s">
        <v>376</v>
      </c>
      <c r="B346" s="26" t="s">
        <v>169</v>
      </c>
      <c r="C346" s="26" t="s">
        <v>36</v>
      </c>
      <c r="D346" s="27">
        <v>5.0</v>
      </c>
      <c r="E346" s="28">
        <v>140000.0</v>
      </c>
      <c r="F346" s="27">
        <v>0.0</v>
      </c>
      <c r="G346" s="28">
        <v>0.0</v>
      </c>
      <c r="H346" s="27">
        <v>5.0</v>
      </c>
      <c r="I346" s="28">
        <v>140000.0</v>
      </c>
      <c r="J346" s="29">
        <f t="shared" si="2"/>
        <v>28000</v>
      </c>
      <c r="K346" s="30">
        <f t="shared" ref="K346:L346" si="344">H346/12</f>
        <v>0.4166666667</v>
      </c>
      <c r="L346" s="31">
        <f t="shared" si="344"/>
        <v>11666.66667</v>
      </c>
      <c r="M346" s="37">
        <v>20.0</v>
      </c>
      <c r="N346" s="33">
        <f t="shared" si="4"/>
        <v>1.25</v>
      </c>
      <c r="O346" s="34">
        <f t="shared" si="5"/>
        <v>-18.75</v>
      </c>
      <c r="P346" s="35" t="str">
        <f t="shared" si="6"/>
        <v/>
      </c>
      <c r="Q346" s="36"/>
      <c r="R346" s="14"/>
      <c r="S346" s="14"/>
      <c r="T346" s="14"/>
      <c r="U346" s="14"/>
      <c r="V346" s="14"/>
      <c r="W346" s="14"/>
      <c r="X346" s="14"/>
      <c r="Y346" s="14"/>
      <c r="Z346" s="14"/>
    </row>
    <row r="347" ht="12.75" customHeight="1">
      <c r="A347" s="26" t="s">
        <v>377</v>
      </c>
      <c r="B347" s="26" t="s">
        <v>169</v>
      </c>
      <c r="C347" s="26" t="s">
        <v>36</v>
      </c>
      <c r="D347" s="27">
        <v>1.0</v>
      </c>
      <c r="E347" s="28">
        <v>100000.0</v>
      </c>
      <c r="F347" s="27">
        <v>0.0</v>
      </c>
      <c r="G347" s="28">
        <v>0.0</v>
      </c>
      <c r="H347" s="27">
        <v>1.0</v>
      </c>
      <c r="I347" s="28">
        <v>100000.0</v>
      </c>
      <c r="J347" s="29">
        <f t="shared" si="2"/>
        <v>100000</v>
      </c>
      <c r="K347" s="30">
        <f t="shared" ref="K347:L347" si="345">H347/12</f>
        <v>0.08333333333</v>
      </c>
      <c r="L347" s="31">
        <f t="shared" si="345"/>
        <v>8333.333333</v>
      </c>
      <c r="M347" s="37">
        <v>0.0</v>
      </c>
      <c r="N347" s="33">
        <f t="shared" si="4"/>
        <v>0.25</v>
      </c>
      <c r="O347" s="34">
        <f t="shared" si="5"/>
        <v>0.25</v>
      </c>
      <c r="P347" s="35">
        <f t="shared" si="6"/>
        <v>0.25</v>
      </c>
      <c r="Q347" s="36"/>
      <c r="R347" s="14"/>
      <c r="S347" s="14"/>
      <c r="T347" s="14"/>
      <c r="U347" s="14"/>
      <c r="V347" s="14"/>
      <c r="W347" s="14"/>
      <c r="X347" s="14"/>
      <c r="Y347" s="14"/>
      <c r="Z347" s="14"/>
    </row>
    <row r="348" ht="12.75" customHeight="1">
      <c r="A348" s="26" t="s">
        <v>378</v>
      </c>
      <c r="B348" s="26" t="s">
        <v>169</v>
      </c>
      <c r="C348" s="26" t="s">
        <v>36</v>
      </c>
      <c r="D348" s="27">
        <v>1.0</v>
      </c>
      <c r="E348" s="28">
        <v>100000.0</v>
      </c>
      <c r="F348" s="27">
        <v>0.0</v>
      </c>
      <c r="G348" s="28">
        <v>0.0</v>
      </c>
      <c r="H348" s="27">
        <v>1.0</v>
      </c>
      <c r="I348" s="28">
        <v>100000.0</v>
      </c>
      <c r="J348" s="29">
        <f t="shared" si="2"/>
        <v>100000</v>
      </c>
      <c r="K348" s="30">
        <f t="shared" ref="K348:L348" si="346">H348/12</f>
        <v>0.08333333333</v>
      </c>
      <c r="L348" s="31">
        <f t="shared" si="346"/>
        <v>8333.333333</v>
      </c>
      <c r="M348" s="37">
        <v>0.0</v>
      </c>
      <c r="N348" s="33">
        <f t="shared" si="4"/>
        <v>0.25</v>
      </c>
      <c r="O348" s="34">
        <f t="shared" si="5"/>
        <v>0.25</v>
      </c>
      <c r="P348" s="35">
        <f t="shared" si="6"/>
        <v>0.25</v>
      </c>
      <c r="Q348" s="36"/>
      <c r="R348" s="14"/>
      <c r="S348" s="14"/>
      <c r="T348" s="14"/>
      <c r="U348" s="14"/>
      <c r="V348" s="14"/>
      <c r="W348" s="14"/>
      <c r="X348" s="14"/>
      <c r="Y348" s="14"/>
      <c r="Z348" s="14"/>
    </row>
    <row r="349" ht="12.75" customHeight="1">
      <c r="A349" s="26" t="s">
        <v>379</v>
      </c>
      <c r="B349" s="26" t="s">
        <v>169</v>
      </c>
      <c r="C349" s="26" t="s">
        <v>36</v>
      </c>
      <c r="D349" s="27">
        <v>1.0</v>
      </c>
      <c r="E349" s="28">
        <v>98000.0</v>
      </c>
      <c r="F349" s="27">
        <v>0.0</v>
      </c>
      <c r="G349" s="28">
        <v>0.0</v>
      </c>
      <c r="H349" s="27">
        <v>1.0</v>
      </c>
      <c r="I349" s="28">
        <v>98000.0</v>
      </c>
      <c r="J349" s="29">
        <f t="shared" si="2"/>
        <v>98000</v>
      </c>
      <c r="K349" s="30">
        <f t="shared" ref="K349:L349" si="347">H349/12</f>
        <v>0.08333333333</v>
      </c>
      <c r="L349" s="31">
        <f t="shared" si="347"/>
        <v>8166.666667</v>
      </c>
      <c r="M349" s="37">
        <v>0.0</v>
      </c>
      <c r="N349" s="33">
        <f t="shared" si="4"/>
        <v>0.25</v>
      </c>
      <c r="O349" s="34">
        <f t="shared" si="5"/>
        <v>0.25</v>
      </c>
      <c r="P349" s="35">
        <f t="shared" si="6"/>
        <v>0.25</v>
      </c>
      <c r="Q349" s="36"/>
      <c r="R349" s="14"/>
      <c r="S349" s="14"/>
      <c r="T349" s="14"/>
      <c r="U349" s="14"/>
      <c r="V349" s="14"/>
      <c r="W349" s="14"/>
      <c r="X349" s="14"/>
      <c r="Y349" s="14"/>
      <c r="Z349" s="14"/>
    </row>
    <row r="350" ht="12.75" customHeight="1">
      <c r="A350" s="26" t="s">
        <v>380</v>
      </c>
      <c r="B350" s="26" t="s">
        <v>169</v>
      </c>
      <c r="C350" s="26" t="s">
        <v>36</v>
      </c>
      <c r="D350" s="27">
        <v>2.0</v>
      </c>
      <c r="E350" s="28">
        <v>56000.0</v>
      </c>
      <c r="F350" s="27">
        <v>0.0</v>
      </c>
      <c r="G350" s="28">
        <v>0.0</v>
      </c>
      <c r="H350" s="27">
        <v>2.0</v>
      </c>
      <c r="I350" s="28">
        <v>56000.0</v>
      </c>
      <c r="J350" s="29">
        <f t="shared" si="2"/>
        <v>28000</v>
      </c>
      <c r="K350" s="30">
        <f t="shared" ref="K350:L350" si="348">H350/12</f>
        <v>0.1666666667</v>
      </c>
      <c r="L350" s="31">
        <f t="shared" si="348"/>
        <v>4666.666667</v>
      </c>
      <c r="M350" s="32">
        <v>0.0</v>
      </c>
      <c r="N350" s="33">
        <f t="shared" si="4"/>
        <v>0.5</v>
      </c>
      <c r="O350" s="34">
        <f t="shared" si="5"/>
        <v>0.5</v>
      </c>
      <c r="P350" s="35">
        <f t="shared" si="6"/>
        <v>0.5</v>
      </c>
      <c r="Q350" s="36"/>
      <c r="R350" s="14"/>
      <c r="S350" s="14"/>
      <c r="T350" s="14"/>
      <c r="U350" s="14"/>
      <c r="V350" s="14"/>
      <c r="W350" s="14"/>
      <c r="X350" s="14"/>
      <c r="Y350" s="14"/>
      <c r="Z350" s="14"/>
    </row>
    <row r="351" ht="12.75" customHeight="1">
      <c r="A351" s="26" t="s">
        <v>381</v>
      </c>
      <c r="B351" s="26" t="s">
        <v>169</v>
      </c>
      <c r="C351" s="26" t="s">
        <v>36</v>
      </c>
      <c r="D351" s="27">
        <v>1.0</v>
      </c>
      <c r="E351" s="28">
        <v>35000.0</v>
      </c>
      <c r="F351" s="27">
        <v>0.0</v>
      </c>
      <c r="G351" s="28">
        <v>0.0</v>
      </c>
      <c r="H351" s="27">
        <v>1.0</v>
      </c>
      <c r="I351" s="28">
        <v>35000.0</v>
      </c>
      <c r="J351" s="29">
        <f t="shared" si="2"/>
        <v>35000</v>
      </c>
      <c r="K351" s="30">
        <f t="shared" ref="K351:L351" si="349">H351/12</f>
        <v>0.08333333333</v>
      </c>
      <c r="L351" s="31">
        <f t="shared" si="349"/>
        <v>2916.666667</v>
      </c>
      <c r="M351" s="37">
        <v>0.0</v>
      </c>
      <c r="N351" s="33">
        <f t="shared" si="4"/>
        <v>0.25</v>
      </c>
      <c r="O351" s="34">
        <f t="shared" si="5"/>
        <v>0.25</v>
      </c>
      <c r="P351" s="35">
        <f t="shared" si="6"/>
        <v>0.25</v>
      </c>
      <c r="Q351" s="36"/>
      <c r="R351" s="14"/>
      <c r="S351" s="14"/>
      <c r="T351" s="14"/>
      <c r="U351" s="14"/>
      <c r="V351" s="14"/>
      <c r="W351" s="14"/>
      <c r="X351" s="14"/>
      <c r="Y351" s="14"/>
      <c r="Z351" s="14"/>
    </row>
    <row r="352" ht="12.75" customHeight="1">
      <c r="A352" s="26" t="s">
        <v>382</v>
      </c>
      <c r="B352" s="26" t="s">
        <v>169</v>
      </c>
      <c r="C352" s="26" t="s">
        <v>36</v>
      </c>
      <c r="D352" s="27">
        <v>2.0</v>
      </c>
      <c r="E352" s="28">
        <v>26600.0</v>
      </c>
      <c r="F352" s="27">
        <v>0.0</v>
      </c>
      <c r="G352" s="28">
        <v>0.0</v>
      </c>
      <c r="H352" s="27">
        <v>2.0</v>
      </c>
      <c r="I352" s="28">
        <v>26600.0</v>
      </c>
      <c r="J352" s="29">
        <f t="shared" si="2"/>
        <v>13300</v>
      </c>
      <c r="K352" s="30">
        <f t="shared" ref="K352:L352" si="350">H352/12</f>
        <v>0.1666666667</v>
      </c>
      <c r="L352" s="31">
        <f t="shared" si="350"/>
        <v>2216.666667</v>
      </c>
      <c r="M352" s="37">
        <v>276.0</v>
      </c>
      <c r="N352" s="33">
        <f t="shared" si="4"/>
        <v>0.5</v>
      </c>
      <c r="O352" s="34">
        <f t="shared" si="5"/>
        <v>-275.5</v>
      </c>
      <c r="P352" s="35" t="str">
        <f t="shared" si="6"/>
        <v/>
      </c>
      <c r="Q352" s="36"/>
      <c r="R352" s="14"/>
      <c r="S352" s="14"/>
      <c r="T352" s="14"/>
      <c r="U352" s="14"/>
      <c r="V352" s="14"/>
      <c r="W352" s="14"/>
      <c r="X352" s="14"/>
      <c r="Y352" s="14"/>
      <c r="Z352" s="14"/>
    </row>
    <row r="353" ht="12.75" customHeight="1">
      <c r="A353" s="26" t="s">
        <v>383</v>
      </c>
      <c r="B353" s="26" t="s">
        <v>194</v>
      </c>
      <c r="C353" s="26" t="s">
        <v>20</v>
      </c>
      <c r="D353" s="27">
        <v>2.0</v>
      </c>
      <c r="E353" s="28">
        <v>0.0</v>
      </c>
      <c r="F353" s="27">
        <v>0.0</v>
      </c>
      <c r="G353" s="28">
        <v>0.0</v>
      </c>
      <c r="H353" s="27">
        <v>2.0</v>
      </c>
      <c r="I353" s="28">
        <v>0.0</v>
      </c>
      <c r="J353" s="29">
        <f t="shared" si="2"/>
        <v>0</v>
      </c>
      <c r="K353" s="30">
        <f t="shared" ref="K353:L353" si="351">H353/12</f>
        <v>0.1666666667</v>
      </c>
      <c r="L353" s="31">
        <f t="shared" si="351"/>
        <v>0</v>
      </c>
      <c r="M353" s="32">
        <v>0.0</v>
      </c>
      <c r="N353" s="33">
        <f t="shared" si="4"/>
        <v>0.5</v>
      </c>
      <c r="O353" s="34">
        <f t="shared" si="5"/>
        <v>0.5</v>
      </c>
      <c r="P353" s="35">
        <f t="shared" si="6"/>
        <v>0.5</v>
      </c>
      <c r="Q353" s="36"/>
      <c r="R353" s="14"/>
      <c r="S353" s="14"/>
      <c r="T353" s="14"/>
      <c r="U353" s="14"/>
      <c r="V353" s="14"/>
      <c r="W353" s="14"/>
      <c r="X353" s="14"/>
      <c r="Y353" s="14"/>
      <c r="Z353" s="14"/>
    </row>
    <row r="354" ht="12.75" customHeight="1">
      <c r="A354" s="26" t="s">
        <v>384</v>
      </c>
      <c r="B354" s="26" t="s">
        <v>169</v>
      </c>
      <c r="C354" s="26" t="s">
        <v>36</v>
      </c>
      <c r="D354" s="27">
        <v>57.0</v>
      </c>
      <c r="E354" s="28">
        <v>0.0</v>
      </c>
      <c r="F354" s="27">
        <v>0.0</v>
      </c>
      <c r="G354" s="28">
        <v>0.0</v>
      </c>
      <c r="H354" s="27">
        <v>57.0</v>
      </c>
      <c r="I354" s="28">
        <v>0.0</v>
      </c>
      <c r="J354" s="29">
        <f t="shared" si="2"/>
        <v>0</v>
      </c>
      <c r="K354" s="30">
        <f t="shared" ref="K354:L354" si="352">H354/12</f>
        <v>4.75</v>
      </c>
      <c r="L354" s="31">
        <f t="shared" si="352"/>
        <v>0</v>
      </c>
      <c r="M354" s="32">
        <v>539.0</v>
      </c>
      <c r="N354" s="33">
        <f t="shared" si="4"/>
        <v>14.25</v>
      </c>
      <c r="O354" s="34">
        <f t="shared" si="5"/>
        <v>-524.75</v>
      </c>
      <c r="P354" s="35" t="str">
        <f t="shared" si="6"/>
        <v/>
      </c>
      <c r="Q354" s="36"/>
      <c r="R354" s="14"/>
      <c r="S354" s="14"/>
      <c r="T354" s="14"/>
      <c r="U354" s="14"/>
      <c r="V354" s="14"/>
      <c r="W354" s="14"/>
      <c r="X354" s="14"/>
      <c r="Y354" s="14"/>
      <c r="Z354" s="14"/>
    </row>
    <row r="355" ht="12.75" customHeight="1">
      <c r="A355" s="26" t="s">
        <v>385</v>
      </c>
      <c r="B355" s="26" t="s">
        <v>31</v>
      </c>
      <c r="C355" s="26" t="s">
        <v>20</v>
      </c>
      <c r="D355" s="27">
        <v>1.0</v>
      </c>
      <c r="E355" s="28">
        <v>0.0</v>
      </c>
      <c r="F355" s="27">
        <v>0.0</v>
      </c>
      <c r="G355" s="28">
        <v>0.0</v>
      </c>
      <c r="H355" s="27">
        <v>1.0</v>
      </c>
      <c r="I355" s="28">
        <v>0.0</v>
      </c>
      <c r="J355" s="29">
        <f t="shared" si="2"/>
        <v>0</v>
      </c>
      <c r="K355" s="30">
        <f t="shared" ref="K355:L355" si="353">H355/12</f>
        <v>0.08333333333</v>
      </c>
      <c r="L355" s="31">
        <f t="shared" si="353"/>
        <v>0</v>
      </c>
      <c r="M355" s="32">
        <v>0.0</v>
      </c>
      <c r="N355" s="33">
        <f t="shared" si="4"/>
        <v>0.25</v>
      </c>
      <c r="O355" s="34">
        <f t="shared" si="5"/>
        <v>0.25</v>
      </c>
      <c r="P355" s="35">
        <f t="shared" si="6"/>
        <v>0.25</v>
      </c>
      <c r="Q355" s="36"/>
      <c r="R355" s="14"/>
      <c r="S355" s="14"/>
      <c r="T355" s="14"/>
      <c r="U355" s="14"/>
      <c r="V355" s="14"/>
      <c r="W355" s="14"/>
      <c r="X355" s="14"/>
      <c r="Y355" s="14"/>
      <c r="Z355" s="14"/>
    </row>
    <row r="356" ht="12.75" customHeight="1">
      <c r="A356" s="26" t="s">
        <v>386</v>
      </c>
      <c r="B356" s="26" t="s">
        <v>31</v>
      </c>
      <c r="C356" s="26" t="s">
        <v>20</v>
      </c>
      <c r="D356" s="27">
        <v>1.0</v>
      </c>
      <c r="E356" s="28">
        <v>0.0</v>
      </c>
      <c r="F356" s="27">
        <v>0.0</v>
      </c>
      <c r="G356" s="28">
        <v>0.0</v>
      </c>
      <c r="H356" s="27">
        <v>1.0</v>
      </c>
      <c r="I356" s="28">
        <v>0.0</v>
      </c>
      <c r="J356" s="29">
        <f t="shared" si="2"/>
        <v>0</v>
      </c>
      <c r="K356" s="30">
        <f t="shared" ref="K356:L356" si="354">H356/12</f>
        <v>0.08333333333</v>
      </c>
      <c r="L356" s="31">
        <f t="shared" si="354"/>
        <v>0</v>
      </c>
      <c r="M356" s="37">
        <v>0.0</v>
      </c>
      <c r="N356" s="33">
        <f t="shared" si="4"/>
        <v>0.25</v>
      </c>
      <c r="O356" s="34">
        <f t="shared" si="5"/>
        <v>0.25</v>
      </c>
      <c r="P356" s="35">
        <f t="shared" si="6"/>
        <v>0.25</v>
      </c>
      <c r="Q356" s="36"/>
      <c r="R356" s="14"/>
      <c r="S356" s="14"/>
      <c r="T356" s="14"/>
      <c r="U356" s="14"/>
      <c r="V356" s="14"/>
      <c r="W356" s="14"/>
      <c r="X356" s="14"/>
      <c r="Y356" s="14"/>
      <c r="Z356" s="14"/>
    </row>
    <row r="357" ht="12.75" customHeight="1">
      <c r="A357" s="26" t="s">
        <v>387</v>
      </c>
      <c r="B357" s="26" t="s">
        <v>31</v>
      </c>
      <c r="C357" s="26" t="s">
        <v>20</v>
      </c>
      <c r="D357" s="27">
        <v>1.0</v>
      </c>
      <c r="E357" s="28">
        <v>0.0</v>
      </c>
      <c r="F357" s="27">
        <v>0.0</v>
      </c>
      <c r="G357" s="28">
        <v>0.0</v>
      </c>
      <c r="H357" s="27">
        <v>1.0</v>
      </c>
      <c r="I357" s="28">
        <v>0.0</v>
      </c>
      <c r="J357" s="29">
        <f t="shared" si="2"/>
        <v>0</v>
      </c>
      <c r="K357" s="30">
        <f t="shared" ref="K357:L357" si="355">H357/12</f>
        <v>0.08333333333</v>
      </c>
      <c r="L357" s="31">
        <f t="shared" si="355"/>
        <v>0</v>
      </c>
      <c r="M357" s="37">
        <v>0.0</v>
      </c>
      <c r="N357" s="33">
        <f t="shared" si="4"/>
        <v>0.25</v>
      </c>
      <c r="O357" s="34">
        <f t="shared" si="5"/>
        <v>0.25</v>
      </c>
      <c r="P357" s="35">
        <f t="shared" si="6"/>
        <v>0.25</v>
      </c>
      <c r="Q357" s="36"/>
      <c r="R357" s="14"/>
      <c r="S357" s="14"/>
      <c r="T357" s="14"/>
      <c r="U357" s="14"/>
      <c r="V357" s="14"/>
      <c r="W357" s="14"/>
      <c r="X357" s="14"/>
      <c r="Y357" s="14"/>
      <c r="Z357" s="14"/>
    </row>
    <row r="358" ht="12.75" customHeight="1">
      <c r="A358" s="26" t="s">
        <v>388</v>
      </c>
      <c r="B358" s="26" t="s">
        <v>215</v>
      </c>
      <c r="C358" s="26" t="s">
        <v>389</v>
      </c>
      <c r="D358" s="27">
        <v>1.0</v>
      </c>
      <c r="E358" s="28">
        <v>0.0</v>
      </c>
      <c r="F358" s="27">
        <v>0.0</v>
      </c>
      <c r="G358" s="28">
        <v>0.0</v>
      </c>
      <c r="H358" s="27">
        <v>1.0</v>
      </c>
      <c r="I358" s="28">
        <v>0.0</v>
      </c>
      <c r="J358" s="29">
        <f t="shared" si="2"/>
        <v>0</v>
      </c>
      <c r="K358" s="30">
        <f t="shared" ref="K358:L358" si="356">H358/12</f>
        <v>0.08333333333</v>
      </c>
      <c r="L358" s="31">
        <f t="shared" si="356"/>
        <v>0</v>
      </c>
      <c r="M358" s="32">
        <v>99.0</v>
      </c>
      <c r="N358" s="33">
        <f t="shared" si="4"/>
        <v>0.25</v>
      </c>
      <c r="O358" s="34">
        <f t="shared" si="5"/>
        <v>-98.75</v>
      </c>
      <c r="P358" s="35" t="str">
        <f t="shared" si="6"/>
        <v/>
      </c>
      <c r="Q358" s="36"/>
      <c r="R358" s="14"/>
      <c r="S358" s="14"/>
      <c r="T358" s="14"/>
      <c r="U358" s="14"/>
      <c r="V358" s="14"/>
      <c r="W358" s="14"/>
      <c r="X358" s="14"/>
      <c r="Y358" s="14"/>
      <c r="Z358" s="14"/>
    </row>
    <row r="359" ht="12.75" customHeight="1">
      <c r="A359" s="26" t="s">
        <v>390</v>
      </c>
      <c r="B359" s="26" t="s">
        <v>215</v>
      </c>
      <c r="C359" s="26" t="s">
        <v>36</v>
      </c>
      <c r="D359" s="27">
        <v>1.0</v>
      </c>
      <c r="E359" s="28">
        <v>0.0</v>
      </c>
      <c r="F359" s="27">
        <v>0.0</v>
      </c>
      <c r="G359" s="28">
        <v>0.0</v>
      </c>
      <c r="H359" s="27">
        <v>1.0</v>
      </c>
      <c r="I359" s="28">
        <v>0.0</v>
      </c>
      <c r="J359" s="29">
        <f t="shared" si="2"/>
        <v>0</v>
      </c>
      <c r="K359" s="30">
        <f t="shared" ref="K359:L359" si="357">H359/12</f>
        <v>0.08333333333</v>
      </c>
      <c r="L359" s="31">
        <f t="shared" si="357"/>
        <v>0</v>
      </c>
      <c r="M359" s="32">
        <v>9.0</v>
      </c>
      <c r="N359" s="33">
        <f t="shared" si="4"/>
        <v>0.25</v>
      </c>
      <c r="O359" s="34">
        <f t="shared" si="5"/>
        <v>-8.75</v>
      </c>
      <c r="P359" s="35" t="str">
        <f t="shared" si="6"/>
        <v/>
      </c>
      <c r="Q359" s="36"/>
      <c r="R359" s="14"/>
      <c r="S359" s="14"/>
      <c r="T359" s="14"/>
      <c r="U359" s="14"/>
      <c r="V359" s="14"/>
      <c r="W359" s="14"/>
      <c r="X359" s="14"/>
      <c r="Y359" s="14"/>
      <c r="Z359" s="14"/>
    </row>
    <row r="360" ht="12.75" customHeight="1">
      <c r="A360" s="26" t="s">
        <v>391</v>
      </c>
      <c r="B360" s="26" t="s">
        <v>46</v>
      </c>
      <c r="C360" s="26" t="s">
        <v>20</v>
      </c>
      <c r="D360" s="27">
        <v>1.0</v>
      </c>
      <c r="E360" s="28">
        <v>0.0</v>
      </c>
      <c r="F360" s="27">
        <v>0.0</v>
      </c>
      <c r="G360" s="28">
        <v>0.0</v>
      </c>
      <c r="H360" s="27">
        <v>1.0</v>
      </c>
      <c r="I360" s="28">
        <v>0.0</v>
      </c>
      <c r="J360" s="29">
        <f t="shared" si="2"/>
        <v>0</v>
      </c>
      <c r="K360" s="30">
        <f t="shared" ref="K360:L360" si="358">H360/12</f>
        <v>0.08333333333</v>
      </c>
      <c r="L360" s="31">
        <f t="shared" si="358"/>
        <v>0</v>
      </c>
      <c r="M360" s="37">
        <v>0.0</v>
      </c>
      <c r="N360" s="33">
        <f t="shared" si="4"/>
        <v>0.25</v>
      </c>
      <c r="O360" s="34">
        <f t="shared" si="5"/>
        <v>0.25</v>
      </c>
      <c r="P360" s="35">
        <f t="shared" si="6"/>
        <v>0.25</v>
      </c>
      <c r="Q360" s="36"/>
      <c r="R360" s="14"/>
      <c r="S360" s="14"/>
      <c r="T360" s="14"/>
      <c r="U360" s="14"/>
      <c r="V360" s="14"/>
      <c r="W360" s="14"/>
      <c r="X360" s="14"/>
      <c r="Y360" s="14"/>
      <c r="Z360" s="14"/>
    </row>
    <row r="361" ht="12.75" customHeight="1">
      <c r="A361" s="26" t="s">
        <v>392</v>
      </c>
      <c r="B361" s="26" t="s">
        <v>22</v>
      </c>
      <c r="C361" s="26" t="s">
        <v>20</v>
      </c>
      <c r="D361" s="27">
        <v>1.0</v>
      </c>
      <c r="E361" s="28">
        <v>0.0</v>
      </c>
      <c r="F361" s="27">
        <v>0.0</v>
      </c>
      <c r="G361" s="28">
        <v>0.0</v>
      </c>
      <c r="H361" s="27">
        <v>1.0</v>
      </c>
      <c r="I361" s="28">
        <v>0.0</v>
      </c>
      <c r="J361" s="29">
        <f t="shared" si="2"/>
        <v>0</v>
      </c>
      <c r="K361" s="30">
        <f t="shared" ref="K361:L361" si="359">H361/12</f>
        <v>0.08333333333</v>
      </c>
      <c r="L361" s="31">
        <f t="shared" si="359"/>
        <v>0</v>
      </c>
      <c r="M361" s="32">
        <v>0.0</v>
      </c>
      <c r="N361" s="33">
        <f t="shared" si="4"/>
        <v>0.25</v>
      </c>
      <c r="O361" s="34">
        <f t="shared" si="5"/>
        <v>0.25</v>
      </c>
      <c r="P361" s="35">
        <f t="shared" si="6"/>
        <v>0.25</v>
      </c>
      <c r="Q361" s="36"/>
      <c r="R361" s="14"/>
      <c r="S361" s="14"/>
      <c r="T361" s="14"/>
      <c r="U361" s="14"/>
      <c r="V361" s="14"/>
      <c r="W361" s="14"/>
      <c r="X361" s="14"/>
      <c r="Y361" s="14"/>
      <c r="Z361" s="14"/>
    </row>
    <row r="362" ht="12.75" customHeight="1">
      <c r="A362" s="26" t="s">
        <v>393</v>
      </c>
      <c r="B362" s="26" t="s">
        <v>31</v>
      </c>
      <c r="C362" s="26" t="s">
        <v>20</v>
      </c>
      <c r="D362" s="27">
        <v>1.0</v>
      </c>
      <c r="E362" s="28">
        <v>0.0</v>
      </c>
      <c r="F362" s="27">
        <v>0.0</v>
      </c>
      <c r="G362" s="28">
        <v>0.0</v>
      </c>
      <c r="H362" s="27">
        <v>1.0</v>
      </c>
      <c r="I362" s="28">
        <v>0.0</v>
      </c>
      <c r="J362" s="29">
        <f t="shared" si="2"/>
        <v>0</v>
      </c>
      <c r="K362" s="30">
        <f t="shared" ref="K362:L362" si="360">H362/12</f>
        <v>0.08333333333</v>
      </c>
      <c r="L362" s="31">
        <f t="shared" si="360"/>
        <v>0</v>
      </c>
      <c r="M362" s="37">
        <v>0.0</v>
      </c>
      <c r="N362" s="33">
        <f t="shared" si="4"/>
        <v>0.25</v>
      </c>
      <c r="O362" s="34">
        <f t="shared" si="5"/>
        <v>0.25</v>
      </c>
      <c r="P362" s="35">
        <f t="shared" si="6"/>
        <v>0.25</v>
      </c>
      <c r="Q362" s="36"/>
      <c r="R362" s="14"/>
      <c r="S362" s="14"/>
      <c r="T362" s="14"/>
      <c r="U362" s="14"/>
      <c r="V362" s="14"/>
      <c r="W362" s="14"/>
      <c r="X362" s="14"/>
      <c r="Y362" s="14"/>
      <c r="Z362" s="14"/>
    </row>
    <row r="363" ht="12.75" customHeight="1">
      <c r="A363" s="26" t="s">
        <v>394</v>
      </c>
      <c r="B363" s="26" t="s">
        <v>309</v>
      </c>
      <c r="C363" s="26" t="s">
        <v>309</v>
      </c>
      <c r="D363" s="27">
        <v>0.0</v>
      </c>
      <c r="E363" s="28">
        <v>-1.3422435E8</v>
      </c>
      <c r="F363" s="27">
        <v>0.0</v>
      </c>
      <c r="G363" s="28">
        <v>0.0</v>
      </c>
      <c r="H363" s="27">
        <v>0.0</v>
      </c>
      <c r="I363" s="28">
        <v>-1.3422435E8</v>
      </c>
      <c r="J363" s="29">
        <f t="shared" si="2"/>
        <v>0</v>
      </c>
      <c r="K363" s="30">
        <f t="shared" ref="K363:L363" si="361">H363/12</f>
        <v>0</v>
      </c>
      <c r="L363" s="31">
        <f t="shared" si="361"/>
        <v>-11185362.5</v>
      </c>
      <c r="M363" s="32">
        <v>0.0</v>
      </c>
      <c r="N363" s="33">
        <f t="shared" si="4"/>
        <v>0</v>
      </c>
      <c r="O363" s="34">
        <f t="shared" si="5"/>
        <v>0</v>
      </c>
      <c r="P363" s="35" t="str">
        <f t="shared" si="6"/>
        <v/>
      </c>
      <c r="Q363" s="36"/>
      <c r="R363" s="14"/>
      <c r="S363" s="14"/>
      <c r="T363" s="14"/>
      <c r="U363" s="14"/>
      <c r="V363" s="14"/>
      <c r="W363" s="14"/>
      <c r="X363" s="14"/>
      <c r="Y363" s="14"/>
      <c r="Z363" s="14"/>
    </row>
    <row r="364" ht="12.75" customHeight="1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>
        <f t="shared" ref="K364:L364" si="362">H364/12</f>
        <v>0</v>
      </c>
      <c r="L364" s="46">
        <f t="shared" si="362"/>
        <v>0</v>
      </c>
      <c r="M364" s="46"/>
      <c r="N364" s="46">
        <f t="shared" si="4"/>
        <v>0</v>
      </c>
      <c r="O364" s="46">
        <f t="shared" si="5"/>
        <v>0</v>
      </c>
      <c r="P364" s="46" t="str">
        <f t="shared" si="6"/>
        <v/>
      </c>
      <c r="Q364" s="46"/>
      <c r="R364" s="14"/>
      <c r="S364" s="14"/>
      <c r="T364" s="14"/>
      <c r="U364" s="14"/>
      <c r="V364" s="14"/>
      <c r="W364" s="14"/>
      <c r="X364" s="14"/>
      <c r="Y364" s="14"/>
      <c r="Z364" s="14"/>
    </row>
    <row r="365" ht="12.75" customHeight="1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>
        <f t="shared" ref="K365:L365" si="363">H365/12</f>
        <v>0</v>
      </c>
      <c r="L365" s="46">
        <f t="shared" si="363"/>
        <v>0</v>
      </c>
      <c r="M365" s="46"/>
      <c r="N365" s="46">
        <f t="shared" si="4"/>
        <v>0</v>
      </c>
      <c r="O365" s="46">
        <f t="shared" si="5"/>
        <v>0</v>
      </c>
      <c r="P365" s="46" t="str">
        <f t="shared" si="6"/>
        <v/>
      </c>
      <c r="Q365" s="46"/>
      <c r="R365" s="14"/>
      <c r="S365" s="14"/>
      <c r="T365" s="14"/>
      <c r="U365" s="14"/>
      <c r="V365" s="14"/>
      <c r="W365" s="14"/>
      <c r="X365" s="14"/>
      <c r="Y365" s="14"/>
      <c r="Z365" s="14"/>
    </row>
    <row r="366" ht="12.75" customHeight="1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>
        <f t="shared" ref="K366:L366" si="364">H366/12</f>
        <v>0</v>
      </c>
      <c r="L366" s="46">
        <f t="shared" si="364"/>
        <v>0</v>
      </c>
      <c r="M366" s="46"/>
      <c r="N366" s="46">
        <f t="shared" si="4"/>
        <v>0</v>
      </c>
      <c r="O366" s="46">
        <f t="shared" si="5"/>
        <v>0</v>
      </c>
      <c r="P366" s="46" t="str">
        <f t="shared" si="6"/>
        <v/>
      </c>
      <c r="Q366" s="46"/>
      <c r="R366" s="14"/>
      <c r="S366" s="14"/>
      <c r="T366" s="14"/>
      <c r="U366" s="14"/>
      <c r="V366" s="14"/>
      <c r="W366" s="14"/>
      <c r="X366" s="14"/>
      <c r="Y366" s="14"/>
      <c r="Z366" s="14"/>
    </row>
    <row r="367" ht="12.75" customHeight="1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>
        <f t="shared" ref="K367:L367" si="365">H367/12</f>
        <v>0</v>
      </c>
      <c r="L367" s="46">
        <f t="shared" si="365"/>
        <v>0</v>
      </c>
      <c r="M367" s="46"/>
      <c r="N367" s="46">
        <f t="shared" si="4"/>
        <v>0</v>
      </c>
      <c r="O367" s="46">
        <f t="shared" si="5"/>
        <v>0</v>
      </c>
      <c r="P367" s="46" t="str">
        <f t="shared" si="6"/>
        <v/>
      </c>
      <c r="Q367" s="46"/>
      <c r="R367" s="14"/>
      <c r="S367" s="14"/>
      <c r="T367" s="14"/>
      <c r="U367" s="14"/>
      <c r="V367" s="14"/>
      <c r="W367" s="14"/>
      <c r="X367" s="14"/>
      <c r="Y367" s="14"/>
      <c r="Z367" s="14"/>
    </row>
    <row r="368" ht="12.75" customHeight="1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>
        <f t="shared" ref="K368:L368" si="366">H368/12</f>
        <v>0</v>
      </c>
      <c r="L368" s="46">
        <f t="shared" si="366"/>
        <v>0</v>
      </c>
      <c r="M368" s="46"/>
      <c r="N368" s="46">
        <f t="shared" si="4"/>
        <v>0</v>
      </c>
      <c r="O368" s="46">
        <f t="shared" si="5"/>
        <v>0</v>
      </c>
      <c r="P368" s="46" t="str">
        <f t="shared" si="6"/>
        <v/>
      </c>
      <c r="Q368" s="46"/>
      <c r="R368" s="14"/>
      <c r="S368" s="14"/>
      <c r="T368" s="14"/>
      <c r="U368" s="14"/>
      <c r="V368" s="14"/>
      <c r="W368" s="14"/>
      <c r="X368" s="14"/>
      <c r="Y368" s="14"/>
      <c r="Z368" s="14"/>
    </row>
    <row r="369" ht="12.75" customHeight="1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>
        <f t="shared" ref="K369:L369" si="367">H369/12</f>
        <v>0</v>
      </c>
      <c r="L369" s="46">
        <f t="shared" si="367"/>
        <v>0</v>
      </c>
      <c r="M369" s="46"/>
      <c r="N369" s="46">
        <f t="shared" si="4"/>
        <v>0</v>
      </c>
      <c r="O369" s="46">
        <f t="shared" si="5"/>
        <v>0</v>
      </c>
      <c r="P369" s="46" t="str">
        <f t="shared" si="6"/>
        <v/>
      </c>
      <c r="Q369" s="46"/>
      <c r="R369" s="14"/>
      <c r="S369" s="14"/>
      <c r="T369" s="14"/>
      <c r="U369" s="14"/>
      <c r="V369" s="14"/>
      <c r="W369" s="14"/>
      <c r="X369" s="14"/>
      <c r="Y369" s="14"/>
      <c r="Z369" s="14"/>
    </row>
    <row r="370" ht="12.75" customHeight="1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>
        <f t="shared" ref="K370:L370" si="368">H370/12</f>
        <v>0</v>
      </c>
      <c r="L370" s="46">
        <f t="shared" si="368"/>
        <v>0</v>
      </c>
      <c r="M370" s="46"/>
      <c r="N370" s="46">
        <f t="shared" si="4"/>
        <v>0</v>
      </c>
      <c r="O370" s="46">
        <f t="shared" si="5"/>
        <v>0</v>
      </c>
      <c r="P370" s="46" t="str">
        <f t="shared" si="6"/>
        <v/>
      </c>
      <c r="Q370" s="46"/>
      <c r="R370" s="14"/>
      <c r="S370" s="14"/>
      <c r="T370" s="14"/>
      <c r="U370" s="14"/>
      <c r="V370" s="14"/>
      <c r="W370" s="14"/>
      <c r="X370" s="14"/>
      <c r="Y370" s="14"/>
      <c r="Z370" s="14"/>
    </row>
    <row r="371" ht="12.75" customHeight="1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>
        <f t="shared" ref="K371:L371" si="369">H371/12</f>
        <v>0</v>
      </c>
      <c r="L371" s="46">
        <f t="shared" si="369"/>
        <v>0</v>
      </c>
      <c r="M371" s="46"/>
      <c r="N371" s="46">
        <f t="shared" si="4"/>
        <v>0</v>
      </c>
      <c r="O371" s="46">
        <f t="shared" si="5"/>
        <v>0</v>
      </c>
      <c r="P371" s="46" t="str">
        <f t="shared" si="6"/>
        <v/>
      </c>
      <c r="Q371" s="46"/>
      <c r="R371" s="14"/>
      <c r="S371" s="14"/>
      <c r="T371" s="14"/>
      <c r="U371" s="14"/>
      <c r="V371" s="14"/>
      <c r="W371" s="14"/>
      <c r="X371" s="14"/>
      <c r="Y371" s="14"/>
      <c r="Z371" s="14"/>
    </row>
    <row r="372" ht="12.75" customHeight="1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>
        <f t="shared" ref="K372:L372" si="370">H372/12</f>
        <v>0</v>
      </c>
      <c r="L372" s="46">
        <f t="shared" si="370"/>
        <v>0</v>
      </c>
      <c r="M372" s="46"/>
      <c r="N372" s="46">
        <f t="shared" si="4"/>
        <v>0</v>
      </c>
      <c r="O372" s="46">
        <f t="shared" si="5"/>
        <v>0</v>
      </c>
      <c r="P372" s="46" t="str">
        <f t="shared" si="6"/>
        <v/>
      </c>
      <c r="Q372" s="46"/>
      <c r="R372" s="14"/>
      <c r="S372" s="14"/>
      <c r="T372" s="14"/>
      <c r="U372" s="14"/>
      <c r="V372" s="14"/>
      <c r="W372" s="14"/>
      <c r="X372" s="14"/>
      <c r="Y372" s="14"/>
      <c r="Z372" s="14"/>
    </row>
    <row r="373" ht="12.75" customHeight="1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>
        <f t="shared" ref="K373:L373" si="371">H373/12</f>
        <v>0</v>
      </c>
      <c r="L373" s="46">
        <f t="shared" si="371"/>
        <v>0</v>
      </c>
      <c r="M373" s="46"/>
      <c r="N373" s="46">
        <f t="shared" si="4"/>
        <v>0</v>
      </c>
      <c r="O373" s="46">
        <f t="shared" si="5"/>
        <v>0</v>
      </c>
      <c r="P373" s="46" t="str">
        <f t="shared" si="6"/>
        <v/>
      </c>
      <c r="Q373" s="46"/>
      <c r="R373" s="14"/>
      <c r="S373" s="14"/>
      <c r="T373" s="14"/>
      <c r="U373" s="14"/>
      <c r="V373" s="14"/>
      <c r="W373" s="14"/>
      <c r="X373" s="14"/>
      <c r="Y373" s="14"/>
      <c r="Z373" s="14"/>
    </row>
    <row r="374" ht="12.75" customHeight="1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>
        <f t="shared" ref="K374:L374" si="372">H374/12</f>
        <v>0</v>
      </c>
      <c r="L374" s="46">
        <f t="shared" si="372"/>
        <v>0</v>
      </c>
      <c r="M374" s="46"/>
      <c r="N374" s="46">
        <f t="shared" si="4"/>
        <v>0</v>
      </c>
      <c r="O374" s="46">
        <f t="shared" si="5"/>
        <v>0</v>
      </c>
      <c r="P374" s="46" t="str">
        <f t="shared" si="6"/>
        <v/>
      </c>
      <c r="Q374" s="46"/>
      <c r="R374" s="14"/>
      <c r="S374" s="14"/>
      <c r="T374" s="14"/>
      <c r="U374" s="14"/>
      <c r="V374" s="14"/>
      <c r="W374" s="14"/>
      <c r="X374" s="14"/>
      <c r="Y374" s="14"/>
      <c r="Z374" s="14"/>
    </row>
    <row r="375" ht="12.75" customHeight="1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>
        <f t="shared" ref="K375:L375" si="373">H375/12</f>
        <v>0</v>
      </c>
      <c r="L375" s="46">
        <f t="shared" si="373"/>
        <v>0</v>
      </c>
      <c r="M375" s="46"/>
      <c r="N375" s="46">
        <f t="shared" si="4"/>
        <v>0</v>
      </c>
      <c r="O375" s="46">
        <f t="shared" si="5"/>
        <v>0</v>
      </c>
      <c r="P375" s="46" t="str">
        <f t="shared" si="6"/>
        <v/>
      </c>
      <c r="Q375" s="46"/>
      <c r="R375" s="14"/>
      <c r="S375" s="14"/>
      <c r="T375" s="14"/>
      <c r="U375" s="14"/>
      <c r="V375" s="14"/>
      <c r="W375" s="14"/>
      <c r="X375" s="14"/>
      <c r="Y375" s="14"/>
      <c r="Z375" s="14"/>
    </row>
    <row r="376" ht="12.75" customHeight="1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>
        <f t="shared" ref="K376:L376" si="374">H376/12</f>
        <v>0</v>
      </c>
      <c r="L376" s="46">
        <f t="shared" si="374"/>
        <v>0</v>
      </c>
      <c r="M376" s="46"/>
      <c r="N376" s="46">
        <f t="shared" si="4"/>
        <v>0</v>
      </c>
      <c r="O376" s="46">
        <f t="shared" si="5"/>
        <v>0</v>
      </c>
      <c r="P376" s="46" t="str">
        <f t="shared" si="6"/>
        <v/>
      </c>
      <c r="Q376" s="46"/>
      <c r="R376" s="14"/>
      <c r="S376" s="14"/>
      <c r="T376" s="14"/>
      <c r="U376" s="14"/>
      <c r="V376" s="14"/>
      <c r="W376" s="14"/>
      <c r="X376" s="14"/>
      <c r="Y376" s="14"/>
      <c r="Z376" s="14"/>
    </row>
    <row r="377" ht="12.75" customHeight="1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>
        <f t="shared" ref="K377:L377" si="375">H377/12</f>
        <v>0</v>
      </c>
      <c r="L377" s="46">
        <f t="shared" si="375"/>
        <v>0</v>
      </c>
      <c r="M377" s="46"/>
      <c r="N377" s="46">
        <f t="shared" si="4"/>
        <v>0</v>
      </c>
      <c r="O377" s="46">
        <f t="shared" si="5"/>
        <v>0</v>
      </c>
      <c r="P377" s="46" t="str">
        <f t="shared" si="6"/>
        <v/>
      </c>
      <c r="Q377" s="46"/>
      <c r="R377" s="14"/>
      <c r="S377" s="14"/>
      <c r="T377" s="14"/>
      <c r="U377" s="14"/>
      <c r="V377" s="14"/>
      <c r="W377" s="14"/>
      <c r="X377" s="14"/>
      <c r="Y377" s="14"/>
      <c r="Z377" s="14"/>
    </row>
    <row r="378" ht="12.75" customHeight="1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>
        <f t="shared" ref="K378:L378" si="376">H378/12</f>
        <v>0</v>
      </c>
      <c r="L378" s="46">
        <f t="shared" si="376"/>
        <v>0</v>
      </c>
      <c r="M378" s="46"/>
      <c r="N378" s="46">
        <f t="shared" si="4"/>
        <v>0</v>
      </c>
      <c r="O378" s="46">
        <f t="shared" si="5"/>
        <v>0</v>
      </c>
      <c r="P378" s="46" t="str">
        <f t="shared" si="6"/>
        <v/>
      </c>
      <c r="Q378" s="46"/>
      <c r="R378" s="14"/>
      <c r="S378" s="14"/>
      <c r="T378" s="14"/>
      <c r="U378" s="14"/>
      <c r="V378" s="14"/>
      <c r="W378" s="14"/>
      <c r="X378" s="14"/>
      <c r="Y378" s="14"/>
      <c r="Z378" s="14"/>
    </row>
    <row r="379" ht="12.75" customHeight="1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>
        <f t="shared" ref="K379:L379" si="377">H379/12</f>
        <v>0</v>
      </c>
      <c r="L379" s="46">
        <f t="shared" si="377"/>
        <v>0</v>
      </c>
      <c r="M379" s="46"/>
      <c r="N379" s="46">
        <f t="shared" si="4"/>
        <v>0</v>
      </c>
      <c r="O379" s="46">
        <f t="shared" si="5"/>
        <v>0</v>
      </c>
      <c r="P379" s="46" t="str">
        <f t="shared" si="6"/>
        <v/>
      </c>
      <c r="Q379" s="46"/>
      <c r="R379" s="14"/>
      <c r="S379" s="14"/>
      <c r="T379" s="14"/>
      <c r="U379" s="14"/>
      <c r="V379" s="14"/>
      <c r="W379" s="14"/>
      <c r="X379" s="14"/>
      <c r="Y379" s="14"/>
      <c r="Z379" s="14"/>
    </row>
    <row r="380" ht="12.75" customHeight="1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>
        <f t="shared" ref="K380:L380" si="378">H380/12</f>
        <v>0</v>
      </c>
      <c r="L380" s="46">
        <f t="shared" si="378"/>
        <v>0</v>
      </c>
      <c r="M380" s="46"/>
      <c r="N380" s="46">
        <f t="shared" si="4"/>
        <v>0</v>
      </c>
      <c r="O380" s="46">
        <f t="shared" si="5"/>
        <v>0</v>
      </c>
      <c r="P380" s="46" t="str">
        <f t="shared" si="6"/>
        <v/>
      </c>
      <c r="Q380" s="46"/>
      <c r="R380" s="14"/>
      <c r="S380" s="14"/>
      <c r="T380" s="14"/>
      <c r="U380" s="14"/>
      <c r="V380" s="14"/>
      <c r="W380" s="14"/>
      <c r="X380" s="14"/>
      <c r="Y380" s="14"/>
      <c r="Z380" s="14"/>
    </row>
    <row r="381" ht="12.75" customHeight="1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>
        <f t="shared" ref="K381:L381" si="379">H381/12</f>
        <v>0</v>
      </c>
      <c r="L381" s="46">
        <f t="shared" si="379"/>
        <v>0</v>
      </c>
      <c r="M381" s="46"/>
      <c r="N381" s="46">
        <f t="shared" si="4"/>
        <v>0</v>
      </c>
      <c r="O381" s="46">
        <f t="shared" si="5"/>
        <v>0</v>
      </c>
      <c r="P381" s="46" t="str">
        <f t="shared" si="6"/>
        <v/>
      </c>
      <c r="Q381" s="46"/>
      <c r="R381" s="14"/>
      <c r="S381" s="14"/>
      <c r="T381" s="14"/>
      <c r="U381" s="14"/>
      <c r="V381" s="14"/>
      <c r="W381" s="14"/>
      <c r="X381" s="14"/>
      <c r="Y381" s="14"/>
      <c r="Z381" s="14"/>
    </row>
    <row r="382" ht="12.75" customHeight="1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>
        <f t="shared" ref="K382:L382" si="380">H382/12</f>
        <v>0</v>
      </c>
      <c r="L382" s="46">
        <f t="shared" si="380"/>
        <v>0</v>
      </c>
      <c r="M382" s="46"/>
      <c r="N382" s="46">
        <f t="shared" si="4"/>
        <v>0</v>
      </c>
      <c r="O382" s="46">
        <f t="shared" si="5"/>
        <v>0</v>
      </c>
      <c r="P382" s="46" t="str">
        <f t="shared" si="6"/>
        <v/>
      </c>
      <c r="Q382" s="46"/>
      <c r="R382" s="14"/>
      <c r="S382" s="14"/>
      <c r="T382" s="14"/>
      <c r="U382" s="14"/>
      <c r="V382" s="14"/>
      <c r="W382" s="14"/>
      <c r="X382" s="14"/>
      <c r="Y382" s="14"/>
      <c r="Z382" s="14"/>
    </row>
    <row r="383" ht="12.75" customHeight="1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>
        <f t="shared" ref="K383:L383" si="381">H383/12</f>
        <v>0</v>
      </c>
      <c r="L383" s="46">
        <f t="shared" si="381"/>
        <v>0</v>
      </c>
      <c r="M383" s="46"/>
      <c r="N383" s="46">
        <f t="shared" si="4"/>
        <v>0</v>
      </c>
      <c r="O383" s="46">
        <f t="shared" si="5"/>
        <v>0</v>
      </c>
      <c r="P383" s="46" t="str">
        <f t="shared" si="6"/>
        <v/>
      </c>
      <c r="Q383" s="46"/>
      <c r="R383" s="14"/>
      <c r="S383" s="14"/>
      <c r="T383" s="14"/>
      <c r="U383" s="14"/>
      <c r="V383" s="14"/>
      <c r="W383" s="14"/>
      <c r="X383" s="14"/>
      <c r="Y383" s="14"/>
      <c r="Z383" s="14"/>
    </row>
    <row r="384" ht="12.75" customHeight="1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>
        <f t="shared" ref="K384:L384" si="382">H384/12</f>
        <v>0</v>
      </c>
      <c r="L384" s="46">
        <f t="shared" si="382"/>
        <v>0</v>
      </c>
      <c r="M384" s="46"/>
      <c r="N384" s="46">
        <f t="shared" si="4"/>
        <v>0</v>
      </c>
      <c r="O384" s="46">
        <f t="shared" si="5"/>
        <v>0</v>
      </c>
      <c r="P384" s="46" t="str">
        <f t="shared" si="6"/>
        <v/>
      </c>
      <c r="Q384" s="46"/>
      <c r="R384" s="14"/>
      <c r="S384" s="14"/>
      <c r="T384" s="14"/>
      <c r="U384" s="14"/>
      <c r="V384" s="14"/>
      <c r="W384" s="14"/>
      <c r="X384" s="14"/>
      <c r="Y384" s="14"/>
      <c r="Z384" s="14"/>
    </row>
    <row r="385" ht="12.75" customHeight="1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>
        <f t="shared" ref="K385:L385" si="383">H385/12</f>
        <v>0</v>
      </c>
      <c r="L385" s="46">
        <f t="shared" si="383"/>
        <v>0</v>
      </c>
      <c r="M385" s="46"/>
      <c r="N385" s="46">
        <f t="shared" si="4"/>
        <v>0</v>
      </c>
      <c r="O385" s="46">
        <f t="shared" si="5"/>
        <v>0</v>
      </c>
      <c r="P385" s="46" t="str">
        <f t="shared" si="6"/>
        <v/>
      </c>
      <c r="Q385" s="46"/>
      <c r="R385" s="14"/>
      <c r="S385" s="14"/>
      <c r="T385" s="14"/>
      <c r="U385" s="14"/>
      <c r="V385" s="14"/>
      <c r="W385" s="14"/>
      <c r="X385" s="14"/>
      <c r="Y385" s="14"/>
      <c r="Z385" s="14"/>
    </row>
    <row r="386" ht="12.75" customHeight="1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>
        <f t="shared" ref="K386:L386" si="384">H386/12</f>
        <v>0</v>
      </c>
      <c r="L386" s="46">
        <f t="shared" si="384"/>
        <v>0</v>
      </c>
      <c r="M386" s="46"/>
      <c r="N386" s="46">
        <f t="shared" si="4"/>
        <v>0</v>
      </c>
      <c r="O386" s="46">
        <f t="shared" si="5"/>
        <v>0</v>
      </c>
      <c r="P386" s="46" t="str">
        <f t="shared" si="6"/>
        <v/>
      </c>
      <c r="Q386" s="46"/>
      <c r="R386" s="14"/>
      <c r="S386" s="14"/>
      <c r="T386" s="14"/>
      <c r="U386" s="14"/>
      <c r="V386" s="14"/>
      <c r="W386" s="14"/>
      <c r="X386" s="14"/>
      <c r="Y386" s="14"/>
      <c r="Z386" s="14"/>
    </row>
    <row r="387" ht="12.75" customHeight="1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>
        <f t="shared" ref="K387:L387" si="385">H387/12</f>
        <v>0</v>
      </c>
      <c r="L387" s="46">
        <f t="shared" si="385"/>
        <v>0</v>
      </c>
      <c r="M387" s="46"/>
      <c r="N387" s="46">
        <f t="shared" si="4"/>
        <v>0</v>
      </c>
      <c r="O387" s="46">
        <f t="shared" si="5"/>
        <v>0</v>
      </c>
      <c r="P387" s="46" t="str">
        <f t="shared" si="6"/>
        <v/>
      </c>
      <c r="Q387" s="46"/>
      <c r="R387" s="14"/>
      <c r="S387" s="14"/>
      <c r="T387" s="14"/>
      <c r="U387" s="14"/>
      <c r="V387" s="14"/>
      <c r="W387" s="14"/>
      <c r="X387" s="14"/>
      <c r="Y387" s="14"/>
      <c r="Z387" s="14"/>
    </row>
    <row r="388" ht="12.75" customHeight="1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>
        <f t="shared" ref="K388:L388" si="386">H388/12</f>
        <v>0</v>
      </c>
      <c r="L388" s="46">
        <f t="shared" si="386"/>
        <v>0</v>
      </c>
      <c r="M388" s="46"/>
      <c r="N388" s="46">
        <f t="shared" si="4"/>
        <v>0</v>
      </c>
      <c r="O388" s="46">
        <f t="shared" si="5"/>
        <v>0</v>
      </c>
      <c r="P388" s="46" t="str">
        <f t="shared" si="6"/>
        <v/>
      </c>
      <c r="Q388" s="46"/>
      <c r="R388" s="14"/>
      <c r="S388" s="14"/>
      <c r="T388" s="14"/>
      <c r="U388" s="14"/>
      <c r="V388" s="14"/>
      <c r="W388" s="14"/>
      <c r="X388" s="14"/>
      <c r="Y388" s="14"/>
      <c r="Z388" s="14"/>
    </row>
    <row r="389" ht="12.75" customHeight="1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>
        <f t="shared" ref="K389:L389" si="387">H389/12</f>
        <v>0</v>
      </c>
      <c r="L389" s="46">
        <f t="shared" si="387"/>
        <v>0</v>
      </c>
      <c r="M389" s="46"/>
      <c r="N389" s="46">
        <f t="shared" si="4"/>
        <v>0</v>
      </c>
      <c r="O389" s="46">
        <f t="shared" si="5"/>
        <v>0</v>
      </c>
      <c r="P389" s="46" t="str">
        <f t="shared" si="6"/>
        <v/>
      </c>
      <c r="Q389" s="46"/>
      <c r="R389" s="14"/>
      <c r="S389" s="14"/>
      <c r="T389" s="14"/>
      <c r="U389" s="14"/>
      <c r="V389" s="14"/>
      <c r="W389" s="14"/>
      <c r="X389" s="14"/>
      <c r="Y389" s="14"/>
      <c r="Z389" s="14"/>
    </row>
    <row r="390" ht="12.75" customHeight="1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>
        <f t="shared" ref="K390:L390" si="388">H390/12</f>
        <v>0</v>
      </c>
      <c r="L390" s="46">
        <f t="shared" si="388"/>
        <v>0</v>
      </c>
      <c r="M390" s="46"/>
      <c r="N390" s="46">
        <f t="shared" si="4"/>
        <v>0</v>
      </c>
      <c r="O390" s="46">
        <f t="shared" si="5"/>
        <v>0</v>
      </c>
      <c r="P390" s="46" t="str">
        <f t="shared" si="6"/>
        <v/>
      </c>
      <c r="Q390" s="46"/>
      <c r="R390" s="14"/>
      <c r="S390" s="14"/>
      <c r="T390" s="14"/>
      <c r="U390" s="14"/>
      <c r="V390" s="14"/>
      <c r="W390" s="14"/>
      <c r="X390" s="14"/>
      <c r="Y390" s="14"/>
      <c r="Z390" s="14"/>
    </row>
    <row r="391" ht="12.75" customHeight="1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>
        <f t="shared" ref="K391:L391" si="389">H391/12</f>
        <v>0</v>
      </c>
      <c r="L391" s="46">
        <f t="shared" si="389"/>
        <v>0</v>
      </c>
      <c r="M391" s="46"/>
      <c r="N391" s="46">
        <f t="shared" si="4"/>
        <v>0</v>
      </c>
      <c r="O391" s="46">
        <f t="shared" si="5"/>
        <v>0</v>
      </c>
      <c r="P391" s="46" t="str">
        <f t="shared" si="6"/>
        <v/>
      </c>
      <c r="Q391" s="46"/>
      <c r="R391" s="14"/>
      <c r="S391" s="14"/>
      <c r="T391" s="14"/>
      <c r="U391" s="14"/>
      <c r="V391" s="14"/>
      <c r="W391" s="14"/>
      <c r="X391" s="14"/>
      <c r="Y391" s="14"/>
      <c r="Z391" s="14"/>
    </row>
    <row r="392" ht="12.75" customHeight="1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>
        <f t="shared" ref="K392:L392" si="390">H392/12</f>
        <v>0</v>
      </c>
      <c r="L392" s="46">
        <f t="shared" si="390"/>
        <v>0</v>
      </c>
      <c r="M392" s="46"/>
      <c r="N392" s="46">
        <f t="shared" si="4"/>
        <v>0</v>
      </c>
      <c r="O392" s="46">
        <f t="shared" si="5"/>
        <v>0</v>
      </c>
      <c r="P392" s="46" t="str">
        <f t="shared" si="6"/>
        <v/>
      </c>
      <c r="Q392" s="46"/>
      <c r="R392" s="14"/>
      <c r="S392" s="14"/>
      <c r="T392" s="14"/>
      <c r="U392" s="14"/>
      <c r="V392" s="14"/>
      <c r="W392" s="14"/>
      <c r="X392" s="14"/>
      <c r="Y392" s="14"/>
      <c r="Z392" s="14"/>
    </row>
    <row r="393" ht="12.75" customHeight="1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>
        <f t="shared" ref="K393:L393" si="391">H393/12</f>
        <v>0</v>
      </c>
      <c r="L393" s="46">
        <f t="shared" si="391"/>
        <v>0</v>
      </c>
      <c r="M393" s="46"/>
      <c r="N393" s="46">
        <f t="shared" si="4"/>
        <v>0</v>
      </c>
      <c r="O393" s="46">
        <f t="shared" si="5"/>
        <v>0</v>
      </c>
      <c r="P393" s="46" t="str">
        <f t="shared" si="6"/>
        <v/>
      </c>
      <c r="Q393" s="46"/>
      <c r="R393" s="14"/>
      <c r="S393" s="14"/>
      <c r="T393" s="14"/>
      <c r="U393" s="14"/>
      <c r="V393" s="14"/>
      <c r="W393" s="14"/>
      <c r="X393" s="14"/>
      <c r="Y393" s="14"/>
      <c r="Z393" s="14"/>
    </row>
    <row r="394" ht="12.75" customHeight="1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>
        <f t="shared" ref="K394:L394" si="392">H394/12</f>
        <v>0</v>
      </c>
      <c r="L394" s="46">
        <f t="shared" si="392"/>
        <v>0</v>
      </c>
      <c r="M394" s="46"/>
      <c r="N394" s="46">
        <f t="shared" si="4"/>
        <v>0</v>
      </c>
      <c r="O394" s="46">
        <f t="shared" si="5"/>
        <v>0</v>
      </c>
      <c r="P394" s="46" t="str">
        <f t="shared" si="6"/>
        <v/>
      </c>
      <c r="Q394" s="46"/>
      <c r="R394" s="14"/>
      <c r="S394" s="14"/>
      <c r="T394" s="14"/>
      <c r="U394" s="14"/>
      <c r="V394" s="14"/>
      <c r="W394" s="14"/>
      <c r="X394" s="14"/>
      <c r="Y394" s="14"/>
      <c r="Z394" s="14"/>
    </row>
    <row r="395" ht="12.75" customHeight="1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>
        <f t="shared" ref="K395:L395" si="393">H395/12</f>
        <v>0</v>
      </c>
      <c r="L395" s="46">
        <f t="shared" si="393"/>
        <v>0</v>
      </c>
      <c r="M395" s="46"/>
      <c r="N395" s="46">
        <f t="shared" si="4"/>
        <v>0</v>
      </c>
      <c r="O395" s="46">
        <f t="shared" si="5"/>
        <v>0</v>
      </c>
      <c r="P395" s="46" t="str">
        <f t="shared" si="6"/>
        <v/>
      </c>
      <c r="Q395" s="46"/>
      <c r="R395" s="14"/>
      <c r="S395" s="14"/>
      <c r="T395" s="14"/>
      <c r="U395" s="14"/>
      <c r="V395" s="14"/>
      <c r="W395" s="14"/>
      <c r="X395" s="14"/>
      <c r="Y395" s="14"/>
      <c r="Z395" s="14"/>
    </row>
    <row r="396" ht="12.75" customHeight="1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>
        <f t="shared" ref="K396:L396" si="394">H396/12</f>
        <v>0</v>
      </c>
      <c r="L396" s="46">
        <f t="shared" si="394"/>
        <v>0</v>
      </c>
      <c r="M396" s="46"/>
      <c r="N396" s="46">
        <f t="shared" si="4"/>
        <v>0</v>
      </c>
      <c r="O396" s="46">
        <f t="shared" si="5"/>
        <v>0</v>
      </c>
      <c r="P396" s="46" t="str">
        <f t="shared" si="6"/>
        <v/>
      </c>
      <c r="Q396" s="46"/>
      <c r="R396" s="14"/>
      <c r="S396" s="14"/>
      <c r="T396" s="14"/>
      <c r="U396" s="14"/>
      <c r="V396" s="14"/>
      <c r="W396" s="14"/>
      <c r="X396" s="14"/>
      <c r="Y396" s="14"/>
      <c r="Z396" s="14"/>
    </row>
    <row r="397" ht="12.75" customHeight="1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>
        <f t="shared" ref="K397:L397" si="395">H397/12</f>
        <v>0</v>
      </c>
      <c r="L397" s="46">
        <f t="shared" si="395"/>
        <v>0</v>
      </c>
      <c r="M397" s="46"/>
      <c r="N397" s="46">
        <f t="shared" si="4"/>
        <v>0</v>
      </c>
      <c r="O397" s="46">
        <f t="shared" si="5"/>
        <v>0</v>
      </c>
      <c r="P397" s="46" t="str">
        <f t="shared" si="6"/>
        <v/>
      </c>
      <c r="Q397" s="46"/>
      <c r="R397" s="14"/>
      <c r="S397" s="14"/>
      <c r="T397" s="14"/>
      <c r="U397" s="14"/>
      <c r="V397" s="14"/>
      <c r="W397" s="14"/>
      <c r="X397" s="14"/>
      <c r="Y397" s="14"/>
      <c r="Z397" s="14"/>
    </row>
    <row r="398" ht="12.75" customHeight="1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>
        <f t="shared" ref="K398:L398" si="396">H398/12</f>
        <v>0</v>
      </c>
      <c r="L398" s="46">
        <f t="shared" si="396"/>
        <v>0</v>
      </c>
      <c r="M398" s="46"/>
      <c r="N398" s="46">
        <f t="shared" si="4"/>
        <v>0</v>
      </c>
      <c r="O398" s="46">
        <f t="shared" si="5"/>
        <v>0</v>
      </c>
      <c r="P398" s="46" t="str">
        <f t="shared" si="6"/>
        <v/>
      </c>
      <c r="Q398" s="46"/>
      <c r="R398" s="14"/>
      <c r="S398" s="14"/>
      <c r="T398" s="14"/>
      <c r="U398" s="14"/>
      <c r="V398" s="14"/>
      <c r="W398" s="14"/>
      <c r="X398" s="14"/>
      <c r="Y398" s="14"/>
      <c r="Z398" s="14"/>
    </row>
    <row r="399" ht="12.75" customHeight="1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>
        <f t="shared" ref="K399:L399" si="397">H399/12</f>
        <v>0</v>
      </c>
      <c r="L399" s="46">
        <f t="shared" si="397"/>
        <v>0</v>
      </c>
      <c r="M399" s="46"/>
      <c r="N399" s="46">
        <f t="shared" si="4"/>
        <v>0</v>
      </c>
      <c r="O399" s="46">
        <f t="shared" si="5"/>
        <v>0</v>
      </c>
      <c r="P399" s="46" t="str">
        <f t="shared" si="6"/>
        <v/>
      </c>
      <c r="Q399" s="46"/>
      <c r="R399" s="14"/>
      <c r="S399" s="14"/>
      <c r="T399" s="14"/>
      <c r="U399" s="14"/>
      <c r="V399" s="14"/>
      <c r="W399" s="14"/>
      <c r="X399" s="14"/>
      <c r="Y399" s="14"/>
      <c r="Z399" s="14"/>
    </row>
    <row r="400" ht="12.75" customHeight="1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>
        <f t="shared" ref="K400:L400" si="398">H400/12</f>
        <v>0</v>
      </c>
      <c r="L400" s="46">
        <f t="shared" si="398"/>
        <v>0</v>
      </c>
      <c r="M400" s="46"/>
      <c r="N400" s="46">
        <f t="shared" si="4"/>
        <v>0</v>
      </c>
      <c r="O400" s="46">
        <f t="shared" si="5"/>
        <v>0</v>
      </c>
      <c r="P400" s="46" t="str">
        <f t="shared" si="6"/>
        <v/>
      </c>
      <c r="Q400" s="46"/>
      <c r="R400" s="14"/>
      <c r="S400" s="14"/>
      <c r="T400" s="14"/>
      <c r="U400" s="14"/>
      <c r="V400" s="14"/>
      <c r="W400" s="14"/>
      <c r="X400" s="14"/>
      <c r="Y400" s="14"/>
      <c r="Z400" s="14"/>
    </row>
    <row r="401" ht="12.75" customHeight="1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>
        <f t="shared" ref="K401:L401" si="399">H401/12</f>
        <v>0</v>
      </c>
      <c r="L401" s="46">
        <f t="shared" si="399"/>
        <v>0</v>
      </c>
      <c r="M401" s="46"/>
      <c r="N401" s="46">
        <f t="shared" si="4"/>
        <v>0</v>
      </c>
      <c r="O401" s="46">
        <f t="shared" si="5"/>
        <v>0</v>
      </c>
      <c r="P401" s="46" t="str">
        <f t="shared" si="6"/>
        <v/>
      </c>
      <c r="Q401" s="46"/>
      <c r="R401" s="14"/>
      <c r="S401" s="14"/>
      <c r="T401" s="14"/>
      <c r="U401" s="14"/>
      <c r="V401" s="14"/>
      <c r="W401" s="14"/>
      <c r="X401" s="14"/>
      <c r="Y401" s="14"/>
      <c r="Z401" s="14"/>
    </row>
    <row r="402" ht="12.75" customHeight="1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>
        <f t="shared" ref="K402:L402" si="400">H402/12</f>
        <v>0</v>
      </c>
      <c r="L402" s="46">
        <f t="shared" si="400"/>
        <v>0</v>
      </c>
      <c r="M402" s="46"/>
      <c r="N402" s="46">
        <f t="shared" si="4"/>
        <v>0</v>
      </c>
      <c r="O402" s="46">
        <f t="shared" si="5"/>
        <v>0</v>
      </c>
      <c r="P402" s="46" t="str">
        <f t="shared" si="6"/>
        <v/>
      </c>
      <c r="Q402" s="46"/>
      <c r="R402" s="14"/>
      <c r="S402" s="14"/>
      <c r="T402" s="14"/>
      <c r="U402" s="14"/>
      <c r="V402" s="14"/>
      <c r="W402" s="14"/>
      <c r="X402" s="14"/>
      <c r="Y402" s="14"/>
      <c r="Z402" s="14"/>
    </row>
    <row r="403" ht="12.75" customHeight="1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>
        <f t="shared" ref="K403:L403" si="401">H403/12</f>
        <v>0</v>
      </c>
      <c r="L403" s="46">
        <f t="shared" si="401"/>
        <v>0</v>
      </c>
      <c r="M403" s="46"/>
      <c r="N403" s="46">
        <f t="shared" si="4"/>
        <v>0</v>
      </c>
      <c r="O403" s="46">
        <f t="shared" si="5"/>
        <v>0</v>
      </c>
      <c r="P403" s="46" t="str">
        <f t="shared" si="6"/>
        <v/>
      </c>
      <c r="Q403" s="46"/>
      <c r="R403" s="14"/>
      <c r="S403" s="14"/>
      <c r="T403" s="14"/>
      <c r="U403" s="14"/>
      <c r="V403" s="14"/>
      <c r="W403" s="14"/>
      <c r="X403" s="14"/>
      <c r="Y403" s="14"/>
      <c r="Z403" s="14"/>
    </row>
    <row r="404" ht="12.75" customHeight="1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>
        <f t="shared" ref="K404:L404" si="402">H404/12</f>
        <v>0</v>
      </c>
      <c r="L404" s="46">
        <f t="shared" si="402"/>
        <v>0</v>
      </c>
      <c r="M404" s="46"/>
      <c r="N404" s="46">
        <f t="shared" si="4"/>
        <v>0</v>
      </c>
      <c r="O404" s="46">
        <f t="shared" si="5"/>
        <v>0</v>
      </c>
      <c r="P404" s="46" t="str">
        <f t="shared" si="6"/>
        <v/>
      </c>
      <c r="Q404" s="46"/>
      <c r="R404" s="14"/>
      <c r="S404" s="14"/>
      <c r="T404" s="14"/>
      <c r="U404" s="14"/>
      <c r="V404" s="14"/>
      <c r="W404" s="14"/>
      <c r="X404" s="14"/>
      <c r="Y404" s="14"/>
      <c r="Z404" s="14"/>
    </row>
    <row r="405" ht="12.75" customHeight="1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>
        <f t="shared" ref="K405:L405" si="403">H405/12</f>
        <v>0</v>
      </c>
      <c r="L405" s="46">
        <f t="shared" si="403"/>
        <v>0</v>
      </c>
      <c r="M405" s="46"/>
      <c r="N405" s="46">
        <f t="shared" si="4"/>
        <v>0</v>
      </c>
      <c r="O405" s="46">
        <f t="shared" si="5"/>
        <v>0</v>
      </c>
      <c r="P405" s="46" t="str">
        <f t="shared" si="6"/>
        <v/>
      </c>
      <c r="Q405" s="46"/>
      <c r="R405" s="14"/>
      <c r="S405" s="14"/>
      <c r="T405" s="14"/>
      <c r="U405" s="14"/>
      <c r="V405" s="14"/>
      <c r="W405" s="14"/>
      <c r="X405" s="14"/>
      <c r="Y405" s="14"/>
      <c r="Z405" s="14"/>
    </row>
    <row r="406" ht="12.75" customHeight="1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>
        <f t="shared" ref="K406:L406" si="404">H406/12</f>
        <v>0</v>
      </c>
      <c r="L406" s="46">
        <f t="shared" si="404"/>
        <v>0</v>
      </c>
      <c r="M406" s="46"/>
      <c r="N406" s="46">
        <f t="shared" si="4"/>
        <v>0</v>
      </c>
      <c r="O406" s="46">
        <f t="shared" si="5"/>
        <v>0</v>
      </c>
      <c r="P406" s="46" t="str">
        <f t="shared" si="6"/>
        <v/>
      </c>
      <c r="Q406" s="46"/>
      <c r="R406" s="14"/>
      <c r="S406" s="14"/>
      <c r="T406" s="14"/>
      <c r="U406" s="14"/>
      <c r="V406" s="14"/>
      <c r="W406" s="14"/>
      <c r="X406" s="14"/>
      <c r="Y406" s="14"/>
      <c r="Z406" s="14"/>
    </row>
    <row r="407" ht="12.75" customHeight="1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>
        <f t="shared" ref="K407:L407" si="405">H407/12</f>
        <v>0</v>
      </c>
      <c r="L407" s="46">
        <f t="shared" si="405"/>
        <v>0</v>
      </c>
      <c r="M407" s="46"/>
      <c r="N407" s="46">
        <f t="shared" si="4"/>
        <v>0</v>
      </c>
      <c r="O407" s="46">
        <f t="shared" si="5"/>
        <v>0</v>
      </c>
      <c r="P407" s="46" t="str">
        <f t="shared" si="6"/>
        <v/>
      </c>
      <c r="Q407" s="46"/>
      <c r="R407" s="14"/>
      <c r="S407" s="14"/>
      <c r="T407" s="14"/>
      <c r="U407" s="14"/>
      <c r="V407" s="14"/>
      <c r="W407" s="14"/>
      <c r="X407" s="14"/>
      <c r="Y407" s="14"/>
      <c r="Z407" s="14"/>
    </row>
    <row r="408" ht="12.75" customHeight="1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>
        <f t="shared" ref="K408:L408" si="406">H408/12</f>
        <v>0</v>
      </c>
      <c r="L408" s="46">
        <f t="shared" si="406"/>
        <v>0</v>
      </c>
      <c r="M408" s="46"/>
      <c r="N408" s="46">
        <f t="shared" si="4"/>
        <v>0</v>
      </c>
      <c r="O408" s="46">
        <f t="shared" si="5"/>
        <v>0</v>
      </c>
      <c r="P408" s="46" t="str">
        <f t="shared" si="6"/>
        <v/>
      </c>
      <c r="Q408" s="46"/>
      <c r="R408" s="14"/>
      <c r="S408" s="14"/>
      <c r="T408" s="14"/>
      <c r="U408" s="14"/>
      <c r="V408" s="14"/>
      <c r="W408" s="14"/>
      <c r="X408" s="14"/>
      <c r="Y408" s="14"/>
      <c r="Z408" s="14"/>
    </row>
    <row r="409" ht="12.75" customHeight="1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>
        <f t="shared" ref="K409:L409" si="407">H409/12</f>
        <v>0</v>
      </c>
      <c r="L409" s="46">
        <f t="shared" si="407"/>
        <v>0</v>
      </c>
      <c r="M409" s="46"/>
      <c r="N409" s="46">
        <f t="shared" si="4"/>
        <v>0</v>
      </c>
      <c r="O409" s="46">
        <f t="shared" si="5"/>
        <v>0</v>
      </c>
      <c r="P409" s="46" t="str">
        <f t="shared" si="6"/>
        <v/>
      </c>
      <c r="Q409" s="46"/>
      <c r="R409" s="14"/>
      <c r="S409" s="14"/>
      <c r="T409" s="14"/>
      <c r="U409" s="14"/>
      <c r="V409" s="14"/>
      <c r="W409" s="14"/>
      <c r="X409" s="14"/>
      <c r="Y409" s="14"/>
      <c r="Z409" s="14"/>
    </row>
    <row r="410" ht="12.75" customHeight="1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>
        <f t="shared" ref="K410:L410" si="408">H410/12</f>
        <v>0</v>
      </c>
      <c r="L410" s="46">
        <f t="shared" si="408"/>
        <v>0</v>
      </c>
      <c r="M410" s="46"/>
      <c r="N410" s="46">
        <f t="shared" si="4"/>
        <v>0</v>
      </c>
      <c r="O410" s="46">
        <f t="shared" si="5"/>
        <v>0</v>
      </c>
      <c r="P410" s="46" t="str">
        <f t="shared" si="6"/>
        <v/>
      </c>
      <c r="Q410" s="46"/>
      <c r="R410" s="14"/>
      <c r="S410" s="14"/>
      <c r="T410" s="14"/>
      <c r="U410" s="14"/>
      <c r="V410" s="14"/>
      <c r="W410" s="14"/>
      <c r="X410" s="14"/>
      <c r="Y410" s="14"/>
      <c r="Z410" s="14"/>
    </row>
    <row r="411" ht="12.75" customHeight="1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>
        <f t="shared" ref="K411:L411" si="409">H411/12</f>
        <v>0</v>
      </c>
      <c r="L411" s="46">
        <f t="shared" si="409"/>
        <v>0</v>
      </c>
      <c r="M411" s="46"/>
      <c r="N411" s="46">
        <f t="shared" si="4"/>
        <v>0</v>
      </c>
      <c r="O411" s="46">
        <f t="shared" si="5"/>
        <v>0</v>
      </c>
      <c r="P411" s="46" t="str">
        <f t="shared" si="6"/>
        <v/>
      </c>
      <c r="Q411" s="46"/>
      <c r="R411" s="14"/>
      <c r="S411" s="14"/>
      <c r="T411" s="14"/>
      <c r="U411" s="14"/>
      <c r="V411" s="14"/>
      <c r="W411" s="14"/>
      <c r="X411" s="14"/>
      <c r="Y411" s="14"/>
      <c r="Z411" s="14"/>
    </row>
    <row r="412" ht="12.75" customHeight="1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>
        <f t="shared" ref="K412:L412" si="410">H412/12</f>
        <v>0</v>
      </c>
      <c r="L412" s="46">
        <f t="shared" si="410"/>
        <v>0</v>
      </c>
      <c r="M412" s="46"/>
      <c r="N412" s="46">
        <f t="shared" si="4"/>
        <v>0</v>
      </c>
      <c r="O412" s="46">
        <f t="shared" si="5"/>
        <v>0</v>
      </c>
      <c r="P412" s="46" t="str">
        <f t="shared" si="6"/>
        <v/>
      </c>
      <c r="Q412" s="46"/>
      <c r="R412" s="14"/>
      <c r="S412" s="14"/>
      <c r="T412" s="14"/>
      <c r="U412" s="14"/>
      <c r="V412" s="14"/>
      <c r="W412" s="14"/>
      <c r="X412" s="14"/>
      <c r="Y412" s="14"/>
      <c r="Z412" s="14"/>
    </row>
    <row r="413" ht="12.75" customHeight="1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>
        <f t="shared" ref="K413:L413" si="411">H413/12</f>
        <v>0</v>
      </c>
      <c r="L413" s="46">
        <f t="shared" si="411"/>
        <v>0</v>
      </c>
      <c r="M413" s="46"/>
      <c r="N413" s="46">
        <f t="shared" si="4"/>
        <v>0</v>
      </c>
      <c r="O413" s="46">
        <f t="shared" si="5"/>
        <v>0</v>
      </c>
      <c r="P413" s="46" t="str">
        <f t="shared" si="6"/>
        <v/>
      </c>
      <c r="Q413" s="46"/>
      <c r="R413" s="14"/>
      <c r="S413" s="14"/>
      <c r="T413" s="14"/>
      <c r="U413" s="14"/>
      <c r="V413" s="14"/>
      <c r="W413" s="14"/>
      <c r="X413" s="14"/>
      <c r="Y413" s="14"/>
      <c r="Z413" s="14"/>
    </row>
    <row r="414" ht="12.75" customHeight="1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>
        <f t="shared" ref="K414:L414" si="412">H414/12</f>
        <v>0</v>
      </c>
      <c r="L414" s="46">
        <f t="shared" si="412"/>
        <v>0</v>
      </c>
      <c r="M414" s="46"/>
      <c r="N414" s="46">
        <f t="shared" si="4"/>
        <v>0</v>
      </c>
      <c r="O414" s="46">
        <f t="shared" si="5"/>
        <v>0</v>
      </c>
      <c r="P414" s="46" t="str">
        <f t="shared" si="6"/>
        <v/>
      </c>
      <c r="Q414" s="46"/>
      <c r="R414" s="14"/>
      <c r="S414" s="14"/>
      <c r="T414" s="14"/>
      <c r="U414" s="14"/>
      <c r="V414" s="14"/>
      <c r="W414" s="14"/>
      <c r="X414" s="14"/>
      <c r="Y414" s="14"/>
      <c r="Z414" s="14"/>
    </row>
    <row r="415" ht="12.75" customHeight="1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>
        <f t="shared" ref="K415:L415" si="413">H415/12</f>
        <v>0</v>
      </c>
      <c r="L415" s="46">
        <f t="shared" si="413"/>
        <v>0</v>
      </c>
      <c r="M415" s="46"/>
      <c r="N415" s="46">
        <f t="shared" si="4"/>
        <v>0</v>
      </c>
      <c r="O415" s="46">
        <f t="shared" si="5"/>
        <v>0</v>
      </c>
      <c r="P415" s="46" t="str">
        <f t="shared" si="6"/>
        <v/>
      </c>
      <c r="Q415" s="46"/>
      <c r="R415" s="14"/>
      <c r="S415" s="14"/>
      <c r="T415" s="14"/>
      <c r="U415" s="14"/>
      <c r="V415" s="14"/>
      <c r="W415" s="14"/>
      <c r="X415" s="14"/>
      <c r="Y415" s="14"/>
      <c r="Z415" s="14"/>
    </row>
    <row r="416" ht="12.75" customHeight="1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>
        <f t="shared" ref="K416:L416" si="414">H416/12</f>
        <v>0</v>
      </c>
      <c r="L416" s="46">
        <f t="shared" si="414"/>
        <v>0</v>
      </c>
      <c r="M416" s="46"/>
      <c r="N416" s="46">
        <f t="shared" si="4"/>
        <v>0</v>
      </c>
      <c r="O416" s="46">
        <f t="shared" si="5"/>
        <v>0</v>
      </c>
      <c r="P416" s="46" t="str">
        <f t="shared" si="6"/>
        <v/>
      </c>
      <c r="Q416" s="46"/>
      <c r="R416" s="14"/>
      <c r="S416" s="14"/>
      <c r="T416" s="14"/>
      <c r="U416" s="14"/>
      <c r="V416" s="14"/>
      <c r="W416" s="14"/>
      <c r="X416" s="14"/>
      <c r="Y416" s="14"/>
      <c r="Z416" s="14"/>
    </row>
    <row r="417" ht="12.75" customHeight="1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>
        <f t="shared" ref="K417:L417" si="415">H417/12</f>
        <v>0</v>
      </c>
      <c r="L417" s="46">
        <f t="shared" si="415"/>
        <v>0</v>
      </c>
      <c r="M417" s="46"/>
      <c r="N417" s="46">
        <f t="shared" si="4"/>
        <v>0</v>
      </c>
      <c r="O417" s="46">
        <f t="shared" si="5"/>
        <v>0</v>
      </c>
      <c r="P417" s="46" t="str">
        <f t="shared" si="6"/>
        <v/>
      </c>
      <c r="Q417" s="46"/>
      <c r="R417" s="14"/>
      <c r="S417" s="14"/>
      <c r="T417" s="14"/>
      <c r="U417" s="14"/>
      <c r="V417" s="14"/>
      <c r="W417" s="14"/>
      <c r="X417" s="14"/>
      <c r="Y417" s="14"/>
      <c r="Z417" s="14"/>
    </row>
    <row r="418" ht="12.75" customHeight="1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>
        <f t="shared" ref="K418:L418" si="416">H418/12</f>
        <v>0</v>
      </c>
      <c r="L418" s="46">
        <f t="shared" si="416"/>
        <v>0</v>
      </c>
      <c r="M418" s="46"/>
      <c r="N418" s="46">
        <f t="shared" si="4"/>
        <v>0</v>
      </c>
      <c r="O418" s="46">
        <f t="shared" si="5"/>
        <v>0</v>
      </c>
      <c r="P418" s="46" t="str">
        <f t="shared" si="6"/>
        <v/>
      </c>
      <c r="Q418" s="46"/>
      <c r="R418" s="14"/>
      <c r="S418" s="14"/>
      <c r="T418" s="14"/>
      <c r="U418" s="14"/>
      <c r="V418" s="14"/>
      <c r="W418" s="14"/>
      <c r="X418" s="14"/>
      <c r="Y418" s="14"/>
      <c r="Z418" s="14"/>
    </row>
    <row r="419" ht="12.75" customHeight="1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>
        <f t="shared" ref="K419:L419" si="417">H419/12</f>
        <v>0</v>
      </c>
      <c r="L419" s="46">
        <f t="shared" si="417"/>
        <v>0</v>
      </c>
      <c r="M419" s="46"/>
      <c r="N419" s="46">
        <f t="shared" si="4"/>
        <v>0</v>
      </c>
      <c r="O419" s="46">
        <f t="shared" si="5"/>
        <v>0</v>
      </c>
      <c r="P419" s="46" t="str">
        <f t="shared" si="6"/>
        <v/>
      </c>
      <c r="Q419" s="46"/>
      <c r="R419" s="14"/>
      <c r="S419" s="14"/>
      <c r="T419" s="14"/>
      <c r="U419" s="14"/>
      <c r="V419" s="14"/>
      <c r="W419" s="14"/>
      <c r="X419" s="14"/>
      <c r="Y419" s="14"/>
      <c r="Z419" s="14"/>
    </row>
    <row r="420" ht="12.75" customHeight="1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>
        <f t="shared" ref="K420:L420" si="418">H420/12</f>
        <v>0</v>
      </c>
      <c r="L420" s="46">
        <f t="shared" si="418"/>
        <v>0</v>
      </c>
      <c r="M420" s="46"/>
      <c r="N420" s="46">
        <f t="shared" si="4"/>
        <v>0</v>
      </c>
      <c r="O420" s="46">
        <f t="shared" si="5"/>
        <v>0</v>
      </c>
      <c r="P420" s="46" t="str">
        <f t="shared" si="6"/>
        <v/>
      </c>
      <c r="Q420" s="46"/>
      <c r="R420" s="14"/>
      <c r="S420" s="14"/>
      <c r="T420" s="14"/>
      <c r="U420" s="14"/>
      <c r="V420" s="14"/>
      <c r="W420" s="14"/>
      <c r="X420" s="14"/>
      <c r="Y420" s="14"/>
      <c r="Z420" s="14"/>
    </row>
    <row r="421" ht="12.75" customHeight="1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>
        <f t="shared" ref="K421:L421" si="419">H421/12</f>
        <v>0</v>
      </c>
      <c r="L421" s="46">
        <f t="shared" si="419"/>
        <v>0</v>
      </c>
      <c r="M421" s="46"/>
      <c r="N421" s="46">
        <f t="shared" si="4"/>
        <v>0</v>
      </c>
      <c r="O421" s="46">
        <f t="shared" si="5"/>
        <v>0</v>
      </c>
      <c r="P421" s="46" t="str">
        <f t="shared" si="6"/>
        <v/>
      </c>
      <c r="Q421" s="46"/>
      <c r="R421" s="14"/>
      <c r="S421" s="14"/>
      <c r="T421" s="14"/>
      <c r="U421" s="14"/>
      <c r="V421" s="14"/>
      <c r="W421" s="14"/>
      <c r="X421" s="14"/>
      <c r="Y421" s="14"/>
      <c r="Z421" s="14"/>
    </row>
    <row r="422" ht="12.75" customHeight="1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>
        <f t="shared" ref="K422:L422" si="420">H422/12</f>
        <v>0</v>
      </c>
      <c r="L422" s="46">
        <f t="shared" si="420"/>
        <v>0</v>
      </c>
      <c r="M422" s="46"/>
      <c r="N422" s="46">
        <f t="shared" si="4"/>
        <v>0</v>
      </c>
      <c r="O422" s="46">
        <f t="shared" si="5"/>
        <v>0</v>
      </c>
      <c r="P422" s="46" t="str">
        <f t="shared" si="6"/>
        <v/>
      </c>
      <c r="Q422" s="46"/>
      <c r="R422" s="14"/>
      <c r="S422" s="14"/>
      <c r="T422" s="14"/>
      <c r="U422" s="14"/>
      <c r="V422" s="14"/>
      <c r="W422" s="14"/>
      <c r="X422" s="14"/>
      <c r="Y422" s="14"/>
      <c r="Z422" s="14"/>
    </row>
    <row r="423" ht="12.75" customHeight="1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>
        <f t="shared" ref="K423:L423" si="421">H423/12</f>
        <v>0</v>
      </c>
      <c r="L423" s="46">
        <f t="shared" si="421"/>
        <v>0</v>
      </c>
      <c r="M423" s="46"/>
      <c r="N423" s="46">
        <f t="shared" si="4"/>
        <v>0</v>
      </c>
      <c r="O423" s="46">
        <f t="shared" si="5"/>
        <v>0</v>
      </c>
      <c r="P423" s="46" t="str">
        <f t="shared" si="6"/>
        <v/>
      </c>
      <c r="Q423" s="46"/>
      <c r="R423" s="14"/>
      <c r="S423" s="14"/>
      <c r="T423" s="14"/>
      <c r="U423" s="14"/>
      <c r="V423" s="14"/>
      <c r="W423" s="14"/>
      <c r="X423" s="14"/>
      <c r="Y423" s="14"/>
      <c r="Z423" s="14"/>
    </row>
    <row r="424" ht="12.75" customHeight="1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>
        <f t="shared" ref="K424:L424" si="422">H424/12</f>
        <v>0</v>
      </c>
      <c r="L424" s="46">
        <f t="shared" si="422"/>
        <v>0</v>
      </c>
      <c r="M424" s="46"/>
      <c r="N424" s="46">
        <f t="shared" si="4"/>
        <v>0</v>
      </c>
      <c r="O424" s="46">
        <f t="shared" si="5"/>
        <v>0</v>
      </c>
      <c r="P424" s="46" t="str">
        <f t="shared" si="6"/>
        <v/>
      </c>
      <c r="Q424" s="46"/>
      <c r="R424" s="14"/>
      <c r="S424" s="14"/>
      <c r="T424" s="14"/>
      <c r="U424" s="14"/>
      <c r="V424" s="14"/>
      <c r="W424" s="14"/>
      <c r="X424" s="14"/>
      <c r="Y424" s="14"/>
      <c r="Z424" s="14"/>
    </row>
    <row r="425" ht="12.75" customHeight="1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>
        <f t="shared" ref="K425:L425" si="423">H425/12</f>
        <v>0</v>
      </c>
      <c r="L425" s="46">
        <f t="shared" si="423"/>
        <v>0</v>
      </c>
      <c r="M425" s="46"/>
      <c r="N425" s="46">
        <f t="shared" si="4"/>
        <v>0</v>
      </c>
      <c r="O425" s="46">
        <f t="shared" si="5"/>
        <v>0</v>
      </c>
      <c r="P425" s="46" t="str">
        <f t="shared" si="6"/>
        <v/>
      </c>
      <c r="Q425" s="46"/>
      <c r="R425" s="14"/>
      <c r="S425" s="14"/>
      <c r="T425" s="14"/>
      <c r="U425" s="14"/>
      <c r="V425" s="14"/>
      <c r="W425" s="14"/>
      <c r="X425" s="14"/>
      <c r="Y425" s="14"/>
      <c r="Z425" s="14"/>
    </row>
    <row r="426" ht="12.75" customHeight="1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>
        <f t="shared" ref="K426:L426" si="424">H426/12</f>
        <v>0</v>
      </c>
      <c r="L426" s="46">
        <f t="shared" si="424"/>
        <v>0</v>
      </c>
      <c r="M426" s="46"/>
      <c r="N426" s="46">
        <f t="shared" si="4"/>
        <v>0</v>
      </c>
      <c r="O426" s="46">
        <f t="shared" si="5"/>
        <v>0</v>
      </c>
      <c r="P426" s="46" t="str">
        <f t="shared" si="6"/>
        <v/>
      </c>
      <c r="Q426" s="46"/>
      <c r="R426" s="14"/>
      <c r="S426" s="14"/>
      <c r="T426" s="14"/>
      <c r="U426" s="14"/>
      <c r="V426" s="14"/>
      <c r="W426" s="14"/>
      <c r="X426" s="14"/>
      <c r="Y426" s="14"/>
      <c r="Z426" s="14"/>
    </row>
    <row r="427" ht="12.75" customHeight="1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>
        <f t="shared" ref="K427:L427" si="425">H427/12</f>
        <v>0</v>
      </c>
      <c r="L427" s="46">
        <f t="shared" si="425"/>
        <v>0</v>
      </c>
      <c r="M427" s="46"/>
      <c r="N427" s="46">
        <f t="shared" si="4"/>
        <v>0</v>
      </c>
      <c r="O427" s="46">
        <f t="shared" si="5"/>
        <v>0</v>
      </c>
      <c r="P427" s="46" t="str">
        <f t="shared" si="6"/>
        <v/>
      </c>
      <c r="Q427" s="46"/>
      <c r="R427" s="14"/>
      <c r="S427" s="14"/>
      <c r="T427" s="14"/>
      <c r="U427" s="14"/>
      <c r="V427" s="14"/>
      <c r="W427" s="14"/>
      <c r="X427" s="14"/>
      <c r="Y427" s="14"/>
      <c r="Z427" s="14"/>
    </row>
    <row r="428" ht="12.75" customHeight="1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>
        <f t="shared" ref="K428:L428" si="426">H428/12</f>
        <v>0</v>
      </c>
      <c r="L428" s="46">
        <f t="shared" si="426"/>
        <v>0</v>
      </c>
      <c r="M428" s="46"/>
      <c r="N428" s="46">
        <f t="shared" si="4"/>
        <v>0</v>
      </c>
      <c r="O428" s="46">
        <f t="shared" si="5"/>
        <v>0</v>
      </c>
      <c r="P428" s="46" t="str">
        <f t="shared" si="6"/>
        <v/>
      </c>
      <c r="Q428" s="46"/>
      <c r="R428" s="14"/>
      <c r="S428" s="14"/>
      <c r="T428" s="14"/>
      <c r="U428" s="14"/>
      <c r="V428" s="14"/>
      <c r="W428" s="14"/>
      <c r="X428" s="14"/>
      <c r="Y428" s="14"/>
      <c r="Z428" s="14"/>
    </row>
    <row r="429" ht="12.75" customHeight="1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>
        <f t="shared" ref="K429:L429" si="427">H429/12</f>
        <v>0</v>
      </c>
      <c r="L429" s="46">
        <f t="shared" si="427"/>
        <v>0</v>
      </c>
      <c r="M429" s="46"/>
      <c r="N429" s="46">
        <f t="shared" si="4"/>
        <v>0</v>
      </c>
      <c r="O429" s="46">
        <f t="shared" si="5"/>
        <v>0</v>
      </c>
      <c r="P429" s="46" t="str">
        <f t="shared" si="6"/>
        <v/>
      </c>
      <c r="Q429" s="46"/>
      <c r="R429" s="14"/>
      <c r="S429" s="14"/>
      <c r="T429" s="14"/>
      <c r="U429" s="14"/>
      <c r="V429" s="14"/>
      <c r="W429" s="14"/>
      <c r="X429" s="14"/>
      <c r="Y429" s="14"/>
      <c r="Z429" s="14"/>
    </row>
    <row r="430" ht="12.75" customHeight="1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>
        <f t="shared" ref="K430:L430" si="428">H430/12</f>
        <v>0</v>
      </c>
      <c r="L430" s="46">
        <f t="shared" si="428"/>
        <v>0</v>
      </c>
      <c r="M430" s="46"/>
      <c r="N430" s="46">
        <f t="shared" si="4"/>
        <v>0</v>
      </c>
      <c r="O430" s="46">
        <f t="shared" si="5"/>
        <v>0</v>
      </c>
      <c r="P430" s="46" t="str">
        <f t="shared" si="6"/>
        <v/>
      </c>
      <c r="Q430" s="46"/>
      <c r="R430" s="14"/>
      <c r="S430" s="14"/>
      <c r="T430" s="14"/>
      <c r="U430" s="14"/>
      <c r="V430" s="14"/>
      <c r="W430" s="14"/>
      <c r="X430" s="14"/>
      <c r="Y430" s="14"/>
      <c r="Z430" s="14"/>
    </row>
    <row r="431" ht="12.75" customHeight="1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>
        <f t="shared" ref="K431:L431" si="429">H431/12</f>
        <v>0</v>
      </c>
      <c r="L431" s="46">
        <f t="shared" si="429"/>
        <v>0</v>
      </c>
      <c r="M431" s="46"/>
      <c r="N431" s="46">
        <f t="shared" si="4"/>
        <v>0</v>
      </c>
      <c r="O431" s="46">
        <f t="shared" si="5"/>
        <v>0</v>
      </c>
      <c r="P431" s="46" t="str">
        <f t="shared" si="6"/>
        <v/>
      </c>
      <c r="Q431" s="46"/>
      <c r="R431" s="14"/>
      <c r="S431" s="14"/>
      <c r="T431" s="14"/>
      <c r="U431" s="14"/>
      <c r="V431" s="14"/>
      <c r="W431" s="14"/>
      <c r="X431" s="14"/>
      <c r="Y431" s="14"/>
      <c r="Z431" s="14"/>
    </row>
    <row r="432" ht="12.75" customHeight="1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>
        <f t="shared" ref="K432:L432" si="430">H432/12</f>
        <v>0</v>
      </c>
      <c r="L432" s="46">
        <f t="shared" si="430"/>
        <v>0</v>
      </c>
      <c r="M432" s="46"/>
      <c r="N432" s="46">
        <f t="shared" si="4"/>
        <v>0</v>
      </c>
      <c r="O432" s="46">
        <f t="shared" si="5"/>
        <v>0</v>
      </c>
      <c r="P432" s="46" t="str">
        <f t="shared" si="6"/>
        <v/>
      </c>
      <c r="Q432" s="46"/>
      <c r="R432" s="14"/>
      <c r="S432" s="14"/>
      <c r="T432" s="14"/>
      <c r="U432" s="14"/>
      <c r="V432" s="14"/>
      <c r="W432" s="14"/>
      <c r="X432" s="14"/>
      <c r="Y432" s="14"/>
      <c r="Z432" s="14"/>
    </row>
    <row r="433" ht="12.75" customHeight="1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>
        <f t="shared" ref="K433:L433" si="431">H433/12</f>
        <v>0</v>
      </c>
      <c r="L433" s="46">
        <f t="shared" si="431"/>
        <v>0</v>
      </c>
      <c r="M433" s="46"/>
      <c r="N433" s="46">
        <f t="shared" si="4"/>
        <v>0</v>
      </c>
      <c r="O433" s="46">
        <f t="shared" si="5"/>
        <v>0</v>
      </c>
      <c r="P433" s="46" t="str">
        <f t="shared" si="6"/>
        <v/>
      </c>
      <c r="Q433" s="46"/>
      <c r="R433" s="14"/>
      <c r="S433" s="14"/>
      <c r="T433" s="14"/>
      <c r="U433" s="14"/>
      <c r="V433" s="14"/>
      <c r="W433" s="14"/>
      <c r="X433" s="14"/>
      <c r="Y433" s="14"/>
      <c r="Z433" s="14"/>
    </row>
    <row r="434" ht="12.75" customHeight="1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>
        <f t="shared" ref="K434:L434" si="432">H434/12</f>
        <v>0</v>
      </c>
      <c r="L434" s="46">
        <f t="shared" si="432"/>
        <v>0</v>
      </c>
      <c r="M434" s="46"/>
      <c r="N434" s="46">
        <f t="shared" si="4"/>
        <v>0</v>
      </c>
      <c r="O434" s="46">
        <f t="shared" si="5"/>
        <v>0</v>
      </c>
      <c r="P434" s="46" t="str">
        <f t="shared" si="6"/>
        <v/>
      </c>
      <c r="Q434" s="46"/>
      <c r="R434" s="14"/>
      <c r="S434" s="14"/>
      <c r="T434" s="14"/>
      <c r="U434" s="14"/>
      <c r="V434" s="14"/>
      <c r="W434" s="14"/>
      <c r="X434" s="14"/>
      <c r="Y434" s="14"/>
      <c r="Z434" s="14"/>
    </row>
    <row r="435" ht="12.75" customHeight="1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>
        <f t="shared" ref="K435:L435" si="433">H435/12</f>
        <v>0</v>
      </c>
      <c r="L435" s="46">
        <f t="shared" si="433"/>
        <v>0</v>
      </c>
      <c r="M435" s="46"/>
      <c r="N435" s="46">
        <f t="shared" si="4"/>
        <v>0</v>
      </c>
      <c r="O435" s="46">
        <f t="shared" si="5"/>
        <v>0</v>
      </c>
      <c r="P435" s="46" t="str">
        <f t="shared" si="6"/>
        <v/>
      </c>
      <c r="Q435" s="46"/>
      <c r="R435" s="14"/>
      <c r="S435" s="14"/>
      <c r="T435" s="14"/>
      <c r="U435" s="14"/>
      <c r="V435" s="14"/>
      <c r="W435" s="14"/>
      <c r="X435" s="14"/>
      <c r="Y435" s="14"/>
      <c r="Z435" s="14"/>
    </row>
    <row r="436" ht="12.75" customHeight="1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>
        <f t="shared" ref="K436:L436" si="434">H436/12</f>
        <v>0</v>
      </c>
      <c r="L436" s="46">
        <f t="shared" si="434"/>
        <v>0</v>
      </c>
      <c r="M436" s="46"/>
      <c r="N436" s="46">
        <f t="shared" si="4"/>
        <v>0</v>
      </c>
      <c r="O436" s="46">
        <f t="shared" si="5"/>
        <v>0</v>
      </c>
      <c r="P436" s="46" t="str">
        <f t="shared" si="6"/>
        <v/>
      </c>
      <c r="Q436" s="46"/>
      <c r="R436" s="14"/>
      <c r="S436" s="14"/>
      <c r="T436" s="14"/>
      <c r="U436" s="14"/>
      <c r="V436" s="14"/>
      <c r="W436" s="14"/>
      <c r="X436" s="14"/>
      <c r="Y436" s="14"/>
      <c r="Z436" s="14"/>
    </row>
    <row r="437" ht="12.75" customHeight="1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>
        <f t="shared" ref="K437:L437" si="435">H437/12</f>
        <v>0</v>
      </c>
      <c r="L437" s="46">
        <f t="shared" si="435"/>
        <v>0</v>
      </c>
      <c r="M437" s="46"/>
      <c r="N437" s="46">
        <f t="shared" si="4"/>
        <v>0</v>
      </c>
      <c r="O437" s="46">
        <f t="shared" si="5"/>
        <v>0</v>
      </c>
      <c r="P437" s="46" t="str">
        <f t="shared" si="6"/>
        <v/>
      </c>
      <c r="Q437" s="46"/>
      <c r="R437" s="14"/>
      <c r="S437" s="14"/>
      <c r="T437" s="14"/>
      <c r="U437" s="14"/>
      <c r="V437" s="14"/>
      <c r="W437" s="14"/>
      <c r="X437" s="14"/>
      <c r="Y437" s="14"/>
      <c r="Z437" s="14"/>
    </row>
    <row r="438" ht="12.75" customHeight="1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>
        <f t="shared" ref="K438:L438" si="436">H438/12</f>
        <v>0</v>
      </c>
      <c r="L438" s="46">
        <f t="shared" si="436"/>
        <v>0</v>
      </c>
      <c r="M438" s="46"/>
      <c r="N438" s="46">
        <f t="shared" si="4"/>
        <v>0</v>
      </c>
      <c r="O438" s="46">
        <f t="shared" si="5"/>
        <v>0</v>
      </c>
      <c r="P438" s="46" t="str">
        <f t="shared" si="6"/>
        <v/>
      </c>
      <c r="Q438" s="46"/>
      <c r="R438" s="14"/>
      <c r="S438" s="14"/>
      <c r="T438" s="14"/>
      <c r="U438" s="14"/>
      <c r="V438" s="14"/>
      <c r="W438" s="14"/>
      <c r="X438" s="14"/>
      <c r="Y438" s="14"/>
      <c r="Z438" s="14"/>
    </row>
    <row r="439" ht="12.75" customHeight="1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>
        <f t="shared" ref="K439:L439" si="437">H439/12</f>
        <v>0</v>
      </c>
      <c r="L439" s="46">
        <f t="shared" si="437"/>
        <v>0</v>
      </c>
      <c r="M439" s="46"/>
      <c r="N439" s="46">
        <f t="shared" si="4"/>
        <v>0</v>
      </c>
      <c r="O439" s="46">
        <f t="shared" si="5"/>
        <v>0</v>
      </c>
      <c r="P439" s="46" t="str">
        <f t="shared" si="6"/>
        <v/>
      </c>
      <c r="Q439" s="46"/>
      <c r="R439" s="14"/>
      <c r="S439" s="14"/>
      <c r="T439" s="14"/>
      <c r="U439" s="14"/>
      <c r="V439" s="14"/>
      <c r="W439" s="14"/>
      <c r="X439" s="14"/>
      <c r="Y439" s="14"/>
      <c r="Z439" s="14"/>
    </row>
    <row r="440" ht="12.75" customHeight="1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>
        <f t="shared" ref="K440:L440" si="438">H440/12</f>
        <v>0</v>
      </c>
      <c r="L440" s="46">
        <f t="shared" si="438"/>
        <v>0</v>
      </c>
      <c r="M440" s="46"/>
      <c r="N440" s="46">
        <f t="shared" si="4"/>
        <v>0</v>
      </c>
      <c r="O440" s="46">
        <f t="shared" si="5"/>
        <v>0</v>
      </c>
      <c r="P440" s="46" t="str">
        <f t="shared" si="6"/>
        <v/>
      </c>
      <c r="Q440" s="46"/>
      <c r="R440" s="14"/>
      <c r="S440" s="14"/>
      <c r="T440" s="14"/>
      <c r="U440" s="14"/>
      <c r="V440" s="14"/>
      <c r="W440" s="14"/>
      <c r="X440" s="14"/>
      <c r="Y440" s="14"/>
      <c r="Z440" s="14"/>
    </row>
    <row r="441" ht="12.75" customHeight="1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>
        <f t="shared" ref="K441:L441" si="439">H441/12</f>
        <v>0</v>
      </c>
      <c r="L441" s="46">
        <f t="shared" si="439"/>
        <v>0</v>
      </c>
      <c r="M441" s="46"/>
      <c r="N441" s="46">
        <f t="shared" si="4"/>
        <v>0</v>
      </c>
      <c r="O441" s="46">
        <f t="shared" si="5"/>
        <v>0</v>
      </c>
      <c r="P441" s="46" t="str">
        <f t="shared" si="6"/>
        <v/>
      </c>
      <c r="Q441" s="46"/>
      <c r="R441" s="14"/>
      <c r="S441" s="14"/>
      <c r="T441" s="14"/>
      <c r="U441" s="14"/>
      <c r="V441" s="14"/>
      <c r="W441" s="14"/>
      <c r="X441" s="14"/>
      <c r="Y441" s="14"/>
      <c r="Z441" s="14"/>
    </row>
    <row r="442" ht="12.75" customHeight="1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>
        <f t="shared" ref="K442:L442" si="440">H442/12</f>
        <v>0</v>
      </c>
      <c r="L442" s="46">
        <f t="shared" si="440"/>
        <v>0</v>
      </c>
      <c r="M442" s="46"/>
      <c r="N442" s="46">
        <f t="shared" si="4"/>
        <v>0</v>
      </c>
      <c r="O442" s="46">
        <f t="shared" si="5"/>
        <v>0</v>
      </c>
      <c r="P442" s="46" t="str">
        <f t="shared" si="6"/>
        <v/>
      </c>
      <c r="Q442" s="46"/>
      <c r="R442" s="14"/>
      <c r="S442" s="14"/>
      <c r="T442" s="14"/>
      <c r="U442" s="14"/>
      <c r="V442" s="14"/>
      <c r="W442" s="14"/>
      <c r="X442" s="14"/>
      <c r="Y442" s="14"/>
      <c r="Z442" s="14"/>
    </row>
    <row r="443" ht="12.75" customHeight="1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>
        <f t="shared" ref="K443:L443" si="441">H443/12</f>
        <v>0</v>
      </c>
      <c r="L443" s="46">
        <f t="shared" si="441"/>
        <v>0</v>
      </c>
      <c r="M443" s="46"/>
      <c r="N443" s="46">
        <f t="shared" si="4"/>
        <v>0</v>
      </c>
      <c r="O443" s="46">
        <f t="shared" si="5"/>
        <v>0</v>
      </c>
      <c r="P443" s="46" t="str">
        <f t="shared" si="6"/>
        <v/>
      </c>
      <c r="Q443" s="46"/>
      <c r="R443" s="14"/>
      <c r="S443" s="14"/>
      <c r="T443" s="14"/>
      <c r="U443" s="14"/>
      <c r="V443" s="14"/>
      <c r="W443" s="14"/>
      <c r="X443" s="14"/>
      <c r="Y443" s="14"/>
      <c r="Z443" s="14"/>
    </row>
    <row r="444" ht="12.75" customHeight="1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>
        <f t="shared" ref="K444:L444" si="442">H444/12</f>
        <v>0</v>
      </c>
      <c r="L444" s="46">
        <f t="shared" si="442"/>
        <v>0</v>
      </c>
      <c r="M444" s="46"/>
      <c r="N444" s="46">
        <f t="shared" si="4"/>
        <v>0</v>
      </c>
      <c r="O444" s="46">
        <f t="shared" si="5"/>
        <v>0</v>
      </c>
      <c r="P444" s="46" t="str">
        <f t="shared" si="6"/>
        <v/>
      </c>
      <c r="Q444" s="46"/>
      <c r="R444" s="14"/>
      <c r="S444" s="14"/>
      <c r="T444" s="14"/>
      <c r="U444" s="14"/>
      <c r="V444" s="14"/>
      <c r="W444" s="14"/>
      <c r="X444" s="14"/>
      <c r="Y444" s="14"/>
      <c r="Z444" s="14"/>
    </row>
    <row r="445" ht="12.75" customHeight="1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>
        <f t="shared" ref="K445:L445" si="443">H445/12</f>
        <v>0</v>
      </c>
      <c r="L445" s="46">
        <f t="shared" si="443"/>
        <v>0</v>
      </c>
      <c r="M445" s="46"/>
      <c r="N445" s="46">
        <f t="shared" si="4"/>
        <v>0</v>
      </c>
      <c r="O445" s="46">
        <f t="shared" si="5"/>
        <v>0</v>
      </c>
      <c r="P445" s="46" t="str">
        <f t="shared" si="6"/>
        <v/>
      </c>
      <c r="Q445" s="46"/>
      <c r="R445" s="14"/>
      <c r="S445" s="14"/>
      <c r="T445" s="14"/>
      <c r="U445" s="14"/>
      <c r="V445" s="14"/>
      <c r="W445" s="14"/>
      <c r="X445" s="14"/>
      <c r="Y445" s="14"/>
      <c r="Z445" s="14"/>
    </row>
    <row r="446" ht="12.75" customHeight="1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>
        <f t="shared" ref="K446:L446" si="444">H446/12</f>
        <v>0</v>
      </c>
      <c r="L446" s="46">
        <f t="shared" si="444"/>
        <v>0</v>
      </c>
      <c r="M446" s="46"/>
      <c r="N446" s="46">
        <f t="shared" si="4"/>
        <v>0</v>
      </c>
      <c r="O446" s="46">
        <f t="shared" si="5"/>
        <v>0</v>
      </c>
      <c r="P446" s="46" t="str">
        <f t="shared" si="6"/>
        <v/>
      </c>
      <c r="Q446" s="46"/>
      <c r="R446" s="14"/>
      <c r="S446" s="14"/>
      <c r="T446" s="14"/>
      <c r="U446" s="14"/>
      <c r="V446" s="14"/>
      <c r="W446" s="14"/>
      <c r="X446" s="14"/>
      <c r="Y446" s="14"/>
      <c r="Z446" s="14"/>
    </row>
    <row r="447" ht="12.75" customHeight="1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>
        <f t="shared" ref="K447:L447" si="445">H447/12</f>
        <v>0</v>
      </c>
      <c r="L447" s="46">
        <f t="shared" si="445"/>
        <v>0</v>
      </c>
      <c r="M447" s="46"/>
      <c r="N447" s="46">
        <f t="shared" si="4"/>
        <v>0</v>
      </c>
      <c r="O447" s="46">
        <f t="shared" si="5"/>
        <v>0</v>
      </c>
      <c r="P447" s="46" t="str">
        <f t="shared" si="6"/>
        <v/>
      </c>
      <c r="Q447" s="46"/>
      <c r="R447" s="14"/>
      <c r="S447" s="14"/>
      <c r="T447" s="14"/>
      <c r="U447" s="14"/>
      <c r="V447" s="14"/>
      <c r="W447" s="14"/>
      <c r="X447" s="14"/>
      <c r="Y447" s="14"/>
      <c r="Z447" s="14"/>
    </row>
    <row r="448" ht="12.75" customHeight="1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>
        <f t="shared" ref="K448:L448" si="446">H448/12</f>
        <v>0</v>
      </c>
      <c r="L448" s="46">
        <f t="shared" si="446"/>
        <v>0</v>
      </c>
      <c r="M448" s="46"/>
      <c r="N448" s="46">
        <f t="shared" si="4"/>
        <v>0</v>
      </c>
      <c r="O448" s="46">
        <f t="shared" si="5"/>
        <v>0</v>
      </c>
      <c r="P448" s="46" t="str">
        <f t="shared" si="6"/>
        <v/>
      </c>
      <c r="Q448" s="46"/>
      <c r="R448" s="14"/>
      <c r="S448" s="14"/>
      <c r="T448" s="14"/>
      <c r="U448" s="14"/>
      <c r="V448" s="14"/>
      <c r="W448" s="14"/>
      <c r="X448" s="14"/>
      <c r="Y448" s="14"/>
      <c r="Z448" s="14"/>
    </row>
    <row r="449" ht="12.75" customHeight="1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>
        <f t="shared" ref="K449:L449" si="447">H449/12</f>
        <v>0</v>
      </c>
      <c r="L449" s="46">
        <f t="shared" si="447"/>
        <v>0</v>
      </c>
      <c r="M449" s="46"/>
      <c r="N449" s="46">
        <f t="shared" si="4"/>
        <v>0</v>
      </c>
      <c r="O449" s="46">
        <f t="shared" si="5"/>
        <v>0</v>
      </c>
      <c r="P449" s="46" t="str">
        <f t="shared" si="6"/>
        <v/>
      </c>
      <c r="Q449" s="46"/>
      <c r="R449" s="14"/>
      <c r="S449" s="14"/>
      <c r="T449" s="14"/>
      <c r="U449" s="14"/>
      <c r="V449" s="14"/>
      <c r="W449" s="14"/>
      <c r="X449" s="14"/>
      <c r="Y449" s="14"/>
      <c r="Z449" s="14"/>
    </row>
    <row r="450" ht="12.75" customHeight="1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>
        <f t="shared" ref="K450:L450" si="448">H450/12</f>
        <v>0</v>
      </c>
      <c r="L450" s="46">
        <f t="shared" si="448"/>
        <v>0</v>
      </c>
      <c r="M450" s="46"/>
      <c r="N450" s="46">
        <f t="shared" si="4"/>
        <v>0</v>
      </c>
      <c r="O450" s="46">
        <f t="shared" si="5"/>
        <v>0</v>
      </c>
      <c r="P450" s="46" t="str">
        <f t="shared" si="6"/>
        <v/>
      </c>
      <c r="Q450" s="46"/>
      <c r="R450" s="14"/>
      <c r="S450" s="14"/>
      <c r="T450" s="14"/>
      <c r="U450" s="14"/>
      <c r="V450" s="14"/>
      <c r="W450" s="14"/>
      <c r="X450" s="14"/>
      <c r="Y450" s="14"/>
      <c r="Z450" s="14"/>
    </row>
    <row r="451" ht="12.75" customHeight="1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>
        <f t="shared" ref="K451:L451" si="449">H451/12</f>
        <v>0</v>
      </c>
      <c r="L451" s="46">
        <f t="shared" si="449"/>
        <v>0</v>
      </c>
      <c r="M451" s="46"/>
      <c r="N451" s="46">
        <f t="shared" si="4"/>
        <v>0</v>
      </c>
      <c r="O451" s="46">
        <f t="shared" si="5"/>
        <v>0</v>
      </c>
      <c r="P451" s="46" t="str">
        <f t="shared" si="6"/>
        <v/>
      </c>
      <c r="Q451" s="46"/>
      <c r="R451" s="14"/>
      <c r="S451" s="14"/>
      <c r="T451" s="14"/>
      <c r="U451" s="14"/>
      <c r="V451" s="14"/>
      <c r="W451" s="14"/>
      <c r="X451" s="14"/>
      <c r="Y451" s="14"/>
      <c r="Z451" s="14"/>
    </row>
    <row r="452" ht="12.75" customHeight="1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>
        <f t="shared" ref="K452:L452" si="450">H452/12</f>
        <v>0</v>
      </c>
      <c r="L452" s="46">
        <f t="shared" si="450"/>
        <v>0</v>
      </c>
      <c r="M452" s="46"/>
      <c r="N452" s="46">
        <f t="shared" si="4"/>
        <v>0</v>
      </c>
      <c r="O452" s="46">
        <f t="shared" si="5"/>
        <v>0</v>
      </c>
      <c r="P452" s="46" t="str">
        <f t="shared" si="6"/>
        <v/>
      </c>
      <c r="Q452" s="46"/>
      <c r="R452" s="14"/>
      <c r="S452" s="14"/>
      <c r="T452" s="14"/>
      <c r="U452" s="14"/>
      <c r="V452" s="14"/>
      <c r="W452" s="14"/>
      <c r="X452" s="14"/>
      <c r="Y452" s="14"/>
      <c r="Z452" s="14"/>
    </row>
    <row r="453" ht="12.75" customHeight="1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>
        <f t="shared" ref="K453:L453" si="451">H453/12</f>
        <v>0</v>
      </c>
      <c r="L453" s="46">
        <f t="shared" si="451"/>
        <v>0</v>
      </c>
      <c r="M453" s="46"/>
      <c r="N453" s="46">
        <f t="shared" si="4"/>
        <v>0</v>
      </c>
      <c r="O453" s="46">
        <f t="shared" si="5"/>
        <v>0</v>
      </c>
      <c r="P453" s="46" t="str">
        <f t="shared" si="6"/>
        <v/>
      </c>
      <c r="Q453" s="46"/>
      <c r="R453" s="14"/>
      <c r="S453" s="14"/>
      <c r="T453" s="14"/>
      <c r="U453" s="14"/>
      <c r="V453" s="14"/>
      <c r="W453" s="14"/>
      <c r="X453" s="14"/>
      <c r="Y453" s="14"/>
      <c r="Z453" s="14"/>
    </row>
    <row r="454" ht="12.75" customHeight="1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>
        <f t="shared" ref="K454:L454" si="452">H454/12</f>
        <v>0</v>
      </c>
      <c r="L454" s="46">
        <f t="shared" si="452"/>
        <v>0</v>
      </c>
      <c r="M454" s="46"/>
      <c r="N454" s="46">
        <f t="shared" si="4"/>
        <v>0</v>
      </c>
      <c r="O454" s="46">
        <f t="shared" si="5"/>
        <v>0</v>
      </c>
      <c r="P454" s="46" t="str">
        <f t="shared" si="6"/>
        <v/>
      </c>
      <c r="Q454" s="46"/>
      <c r="R454" s="14"/>
      <c r="S454" s="14"/>
      <c r="T454" s="14"/>
      <c r="U454" s="14"/>
      <c r="V454" s="14"/>
      <c r="W454" s="14"/>
      <c r="X454" s="14"/>
      <c r="Y454" s="14"/>
      <c r="Z454" s="14"/>
    </row>
    <row r="455" ht="12.75" customHeight="1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>
        <f t="shared" ref="K455:L455" si="453">H455/12</f>
        <v>0</v>
      </c>
      <c r="L455" s="46">
        <f t="shared" si="453"/>
        <v>0</v>
      </c>
      <c r="M455" s="46"/>
      <c r="N455" s="46">
        <f t="shared" si="4"/>
        <v>0</v>
      </c>
      <c r="O455" s="46">
        <f t="shared" si="5"/>
        <v>0</v>
      </c>
      <c r="P455" s="46" t="str">
        <f t="shared" si="6"/>
        <v/>
      </c>
      <c r="Q455" s="46"/>
      <c r="R455" s="14"/>
      <c r="S455" s="14"/>
      <c r="T455" s="14"/>
      <c r="U455" s="14"/>
      <c r="V455" s="14"/>
      <c r="W455" s="14"/>
      <c r="X455" s="14"/>
      <c r="Y455" s="14"/>
      <c r="Z455" s="14"/>
    </row>
    <row r="456" ht="12.75" customHeight="1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>
        <f t="shared" ref="K456:L456" si="454">H456/12</f>
        <v>0</v>
      </c>
      <c r="L456" s="46">
        <f t="shared" si="454"/>
        <v>0</v>
      </c>
      <c r="M456" s="46"/>
      <c r="N456" s="46">
        <f t="shared" si="4"/>
        <v>0</v>
      </c>
      <c r="O456" s="46">
        <f t="shared" si="5"/>
        <v>0</v>
      </c>
      <c r="P456" s="46" t="str">
        <f t="shared" si="6"/>
        <v/>
      </c>
      <c r="Q456" s="46"/>
      <c r="R456" s="14"/>
      <c r="S456" s="14"/>
      <c r="T456" s="14"/>
      <c r="U456" s="14"/>
      <c r="V456" s="14"/>
      <c r="W456" s="14"/>
      <c r="X456" s="14"/>
      <c r="Y456" s="14"/>
      <c r="Z456" s="14"/>
    </row>
    <row r="457" ht="12.75" customHeight="1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>
        <f t="shared" ref="K457:L457" si="455">H457/12</f>
        <v>0</v>
      </c>
      <c r="L457" s="46">
        <f t="shared" si="455"/>
        <v>0</v>
      </c>
      <c r="M457" s="46"/>
      <c r="N457" s="46">
        <f t="shared" si="4"/>
        <v>0</v>
      </c>
      <c r="O457" s="46">
        <f t="shared" si="5"/>
        <v>0</v>
      </c>
      <c r="P457" s="46" t="str">
        <f t="shared" si="6"/>
        <v/>
      </c>
      <c r="Q457" s="46"/>
      <c r="R457" s="14"/>
      <c r="S457" s="14"/>
      <c r="T457" s="14"/>
      <c r="U457" s="14"/>
      <c r="V457" s="14"/>
      <c r="W457" s="14"/>
      <c r="X457" s="14"/>
      <c r="Y457" s="14"/>
      <c r="Z457" s="14"/>
    </row>
    <row r="458" ht="12.75" customHeight="1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>
        <f t="shared" ref="K458:L458" si="456">H458/12</f>
        <v>0</v>
      </c>
      <c r="L458" s="46">
        <f t="shared" si="456"/>
        <v>0</v>
      </c>
      <c r="M458" s="46"/>
      <c r="N458" s="46">
        <f t="shared" si="4"/>
        <v>0</v>
      </c>
      <c r="O458" s="46">
        <f t="shared" si="5"/>
        <v>0</v>
      </c>
      <c r="P458" s="46" t="str">
        <f t="shared" si="6"/>
        <v/>
      </c>
      <c r="Q458" s="46"/>
      <c r="R458" s="14"/>
      <c r="S458" s="14"/>
      <c r="T458" s="14"/>
      <c r="U458" s="14"/>
      <c r="V458" s="14"/>
      <c r="W458" s="14"/>
      <c r="X458" s="14"/>
      <c r="Y458" s="14"/>
      <c r="Z458" s="14"/>
    </row>
    <row r="459" ht="12.75" customHeight="1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>
        <f t="shared" ref="K459:L459" si="457">H459/12</f>
        <v>0</v>
      </c>
      <c r="L459" s="46">
        <f t="shared" si="457"/>
        <v>0</v>
      </c>
      <c r="M459" s="46"/>
      <c r="N459" s="46">
        <f t="shared" si="4"/>
        <v>0</v>
      </c>
      <c r="O459" s="46">
        <f t="shared" si="5"/>
        <v>0</v>
      </c>
      <c r="P459" s="46" t="str">
        <f t="shared" si="6"/>
        <v/>
      </c>
      <c r="Q459" s="46"/>
      <c r="R459" s="14"/>
      <c r="S459" s="14"/>
      <c r="T459" s="14"/>
      <c r="U459" s="14"/>
      <c r="V459" s="14"/>
      <c r="W459" s="14"/>
      <c r="X459" s="14"/>
      <c r="Y459" s="14"/>
      <c r="Z459" s="14"/>
    </row>
    <row r="460" ht="12.75" customHeight="1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>
        <f t="shared" ref="K460:L460" si="458">H460/12</f>
        <v>0</v>
      </c>
      <c r="L460" s="46">
        <f t="shared" si="458"/>
        <v>0</v>
      </c>
      <c r="M460" s="46"/>
      <c r="N460" s="46">
        <f t="shared" si="4"/>
        <v>0</v>
      </c>
      <c r="O460" s="46">
        <f t="shared" si="5"/>
        <v>0</v>
      </c>
      <c r="P460" s="46" t="str">
        <f t="shared" si="6"/>
        <v/>
      </c>
      <c r="Q460" s="46"/>
      <c r="R460" s="14"/>
      <c r="S460" s="14"/>
      <c r="T460" s="14"/>
      <c r="U460" s="14"/>
      <c r="V460" s="14"/>
      <c r="W460" s="14"/>
      <c r="X460" s="14"/>
      <c r="Y460" s="14"/>
      <c r="Z460" s="14"/>
    </row>
    <row r="461" ht="12.75" customHeight="1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>
        <f t="shared" ref="K461:L461" si="459">H461/12</f>
        <v>0</v>
      </c>
      <c r="L461" s="46">
        <f t="shared" si="459"/>
        <v>0</v>
      </c>
      <c r="M461" s="46"/>
      <c r="N461" s="46">
        <f t="shared" si="4"/>
        <v>0</v>
      </c>
      <c r="O461" s="46">
        <f t="shared" si="5"/>
        <v>0</v>
      </c>
      <c r="P461" s="46" t="str">
        <f t="shared" si="6"/>
        <v/>
      </c>
      <c r="Q461" s="46"/>
      <c r="R461" s="14"/>
      <c r="S461" s="14"/>
      <c r="T461" s="14"/>
      <c r="U461" s="14"/>
      <c r="V461" s="14"/>
      <c r="W461" s="14"/>
      <c r="X461" s="14"/>
      <c r="Y461" s="14"/>
      <c r="Z461" s="14"/>
    </row>
    <row r="462" ht="12.75" customHeight="1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>
        <f t="shared" ref="K462:L462" si="460">H462/12</f>
        <v>0</v>
      </c>
      <c r="L462" s="46">
        <f t="shared" si="460"/>
        <v>0</v>
      </c>
      <c r="M462" s="46"/>
      <c r="N462" s="46">
        <f t="shared" si="4"/>
        <v>0</v>
      </c>
      <c r="O462" s="46">
        <f t="shared" si="5"/>
        <v>0</v>
      </c>
      <c r="P462" s="46" t="str">
        <f t="shared" si="6"/>
        <v/>
      </c>
      <c r="Q462" s="46"/>
      <c r="R462" s="14"/>
      <c r="S462" s="14"/>
      <c r="T462" s="14"/>
      <c r="U462" s="14"/>
      <c r="V462" s="14"/>
      <c r="W462" s="14"/>
      <c r="X462" s="14"/>
      <c r="Y462" s="14"/>
      <c r="Z462" s="14"/>
    </row>
    <row r="463" ht="12.75" customHeight="1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>
        <f t="shared" ref="K463:L463" si="461">H463/12</f>
        <v>0</v>
      </c>
      <c r="L463" s="46">
        <f t="shared" si="461"/>
        <v>0</v>
      </c>
      <c r="M463" s="46"/>
      <c r="N463" s="46">
        <f t="shared" si="4"/>
        <v>0</v>
      </c>
      <c r="O463" s="46">
        <f t="shared" si="5"/>
        <v>0</v>
      </c>
      <c r="P463" s="46" t="str">
        <f t="shared" si="6"/>
        <v/>
      </c>
      <c r="Q463" s="46"/>
      <c r="R463" s="14"/>
      <c r="S463" s="14"/>
      <c r="T463" s="14"/>
      <c r="U463" s="14"/>
      <c r="V463" s="14"/>
      <c r="W463" s="14"/>
      <c r="X463" s="14"/>
      <c r="Y463" s="14"/>
      <c r="Z463" s="14"/>
    </row>
    <row r="464" ht="12.75" customHeight="1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>
        <f t="shared" ref="K464:L464" si="462">H464/12</f>
        <v>0</v>
      </c>
      <c r="L464" s="46">
        <f t="shared" si="462"/>
        <v>0</v>
      </c>
      <c r="M464" s="46"/>
      <c r="N464" s="46">
        <f t="shared" si="4"/>
        <v>0</v>
      </c>
      <c r="O464" s="46">
        <f t="shared" si="5"/>
        <v>0</v>
      </c>
      <c r="P464" s="46" t="str">
        <f t="shared" si="6"/>
        <v/>
      </c>
      <c r="Q464" s="46"/>
      <c r="R464" s="14"/>
      <c r="S464" s="14"/>
      <c r="T464" s="14"/>
      <c r="U464" s="14"/>
      <c r="V464" s="14"/>
      <c r="W464" s="14"/>
      <c r="X464" s="14"/>
      <c r="Y464" s="14"/>
      <c r="Z464" s="14"/>
    </row>
    <row r="465" ht="12.75" customHeight="1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>
        <f t="shared" ref="K465:L465" si="463">H465/12</f>
        <v>0</v>
      </c>
      <c r="L465" s="46">
        <f t="shared" si="463"/>
        <v>0</v>
      </c>
      <c r="M465" s="46"/>
      <c r="N465" s="46">
        <f t="shared" si="4"/>
        <v>0</v>
      </c>
      <c r="O465" s="46">
        <f t="shared" si="5"/>
        <v>0</v>
      </c>
      <c r="P465" s="46" t="str">
        <f t="shared" si="6"/>
        <v/>
      </c>
      <c r="Q465" s="46"/>
      <c r="R465" s="14"/>
      <c r="S465" s="14"/>
      <c r="T465" s="14"/>
      <c r="U465" s="14"/>
      <c r="V465" s="14"/>
      <c r="W465" s="14"/>
      <c r="X465" s="14"/>
      <c r="Y465" s="14"/>
      <c r="Z465" s="14"/>
    </row>
    <row r="466" ht="12.75" customHeight="1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>
        <f t="shared" ref="K466:L466" si="464">H466/12</f>
        <v>0</v>
      </c>
      <c r="L466" s="46">
        <f t="shared" si="464"/>
        <v>0</v>
      </c>
      <c r="M466" s="46"/>
      <c r="N466" s="46">
        <f t="shared" si="4"/>
        <v>0</v>
      </c>
      <c r="O466" s="46">
        <f t="shared" si="5"/>
        <v>0</v>
      </c>
      <c r="P466" s="46" t="str">
        <f t="shared" si="6"/>
        <v/>
      </c>
      <c r="Q466" s="46"/>
      <c r="R466" s="14"/>
      <c r="S466" s="14"/>
      <c r="T466" s="14"/>
      <c r="U466" s="14"/>
      <c r="V466" s="14"/>
      <c r="W466" s="14"/>
      <c r="X466" s="14"/>
      <c r="Y466" s="14"/>
      <c r="Z466" s="14"/>
    </row>
    <row r="467" ht="12.75" customHeight="1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>
        <f t="shared" ref="K467:L467" si="465">H467/12</f>
        <v>0</v>
      </c>
      <c r="L467" s="46">
        <f t="shared" si="465"/>
        <v>0</v>
      </c>
      <c r="M467" s="46"/>
      <c r="N467" s="46">
        <f t="shared" si="4"/>
        <v>0</v>
      </c>
      <c r="O467" s="46">
        <f t="shared" si="5"/>
        <v>0</v>
      </c>
      <c r="P467" s="46" t="str">
        <f t="shared" si="6"/>
        <v/>
      </c>
      <c r="Q467" s="46"/>
      <c r="R467" s="14"/>
      <c r="S467" s="14"/>
      <c r="T467" s="14"/>
      <c r="U467" s="14"/>
      <c r="V467" s="14"/>
      <c r="W467" s="14"/>
      <c r="X467" s="14"/>
      <c r="Y467" s="14"/>
      <c r="Z467" s="14"/>
    </row>
    <row r="468" ht="12.75" customHeight="1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>
        <f t="shared" ref="K468:L468" si="466">H468/12</f>
        <v>0</v>
      </c>
      <c r="L468" s="46">
        <f t="shared" si="466"/>
        <v>0</v>
      </c>
      <c r="M468" s="46"/>
      <c r="N468" s="46">
        <f t="shared" si="4"/>
        <v>0</v>
      </c>
      <c r="O468" s="46">
        <f t="shared" si="5"/>
        <v>0</v>
      </c>
      <c r="P468" s="46" t="str">
        <f t="shared" si="6"/>
        <v/>
      </c>
      <c r="Q468" s="46"/>
      <c r="R468" s="14"/>
      <c r="S468" s="14"/>
      <c r="T468" s="14"/>
      <c r="U468" s="14"/>
      <c r="V468" s="14"/>
      <c r="W468" s="14"/>
      <c r="X468" s="14"/>
      <c r="Y468" s="14"/>
      <c r="Z468" s="14"/>
    </row>
    <row r="469" ht="12.75" customHeight="1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>
        <f t="shared" ref="K469:L469" si="467">H469/12</f>
        <v>0</v>
      </c>
      <c r="L469" s="46">
        <f t="shared" si="467"/>
        <v>0</v>
      </c>
      <c r="M469" s="46"/>
      <c r="N469" s="46">
        <f t="shared" si="4"/>
        <v>0</v>
      </c>
      <c r="O469" s="46">
        <f t="shared" si="5"/>
        <v>0</v>
      </c>
      <c r="P469" s="46" t="str">
        <f t="shared" si="6"/>
        <v/>
      </c>
      <c r="Q469" s="46"/>
      <c r="R469" s="14"/>
      <c r="S469" s="14"/>
      <c r="T469" s="14"/>
      <c r="U469" s="14"/>
      <c r="V469" s="14"/>
      <c r="W469" s="14"/>
      <c r="X469" s="14"/>
      <c r="Y469" s="14"/>
      <c r="Z469" s="14"/>
    </row>
    <row r="470" ht="12.75" customHeight="1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>
        <f t="shared" ref="K470:L470" si="468">H470/12</f>
        <v>0</v>
      </c>
      <c r="L470" s="46">
        <f t="shared" si="468"/>
        <v>0</v>
      </c>
      <c r="M470" s="46"/>
      <c r="N470" s="46">
        <f t="shared" si="4"/>
        <v>0</v>
      </c>
      <c r="O470" s="46">
        <f t="shared" si="5"/>
        <v>0</v>
      </c>
      <c r="P470" s="46" t="str">
        <f t="shared" si="6"/>
        <v/>
      </c>
      <c r="Q470" s="46"/>
      <c r="R470" s="14"/>
      <c r="S470" s="14"/>
      <c r="T470" s="14"/>
      <c r="U470" s="14"/>
      <c r="V470" s="14"/>
      <c r="W470" s="14"/>
      <c r="X470" s="14"/>
      <c r="Y470" s="14"/>
      <c r="Z470" s="14"/>
    </row>
    <row r="471" ht="12.75" customHeight="1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>
        <f t="shared" ref="K471:L471" si="469">H471/12</f>
        <v>0</v>
      </c>
      <c r="L471" s="46">
        <f t="shared" si="469"/>
        <v>0</v>
      </c>
      <c r="M471" s="46"/>
      <c r="N471" s="46">
        <f t="shared" si="4"/>
        <v>0</v>
      </c>
      <c r="O471" s="46">
        <f t="shared" si="5"/>
        <v>0</v>
      </c>
      <c r="P471" s="46" t="str">
        <f t="shared" si="6"/>
        <v/>
      </c>
      <c r="Q471" s="46"/>
      <c r="R471" s="14"/>
      <c r="S471" s="14"/>
      <c r="T471" s="14"/>
      <c r="U471" s="14"/>
      <c r="V471" s="14"/>
      <c r="W471" s="14"/>
      <c r="X471" s="14"/>
      <c r="Y471" s="14"/>
      <c r="Z471" s="14"/>
    </row>
    <row r="472" ht="12.75" customHeight="1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>
        <f t="shared" ref="K472:L472" si="470">H472/12</f>
        <v>0</v>
      </c>
      <c r="L472" s="46">
        <f t="shared" si="470"/>
        <v>0</v>
      </c>
      <c r="M472" s="46"/>
      <c r="N472" s="46">
        <f t="shared" si="4"/>
        <v>0</v>
      </c>
      <c r="O472" s="46">
        <f t="shared" si="5"/>
        <v>0</v>
      </c>
      <c r="P472" s="46" t="str">
        <f t="shared" si="6"/>
        <v/>
      </c>
      <c r="Q472" s="46"/>
      <c r="R472" s="14"/>
      <c r="S472" s="14"/>
      <c r="T472" s="14"/>
      <c r="U472" s="14"/>
      <c r="V472" s="14"/>
      <c r="W472" s="14"/>
      <c r="X472" s="14"/>
      <c r="Y472" s="14"/>
      <c r="Z472" s="14"/>
    </row>
    <row r="473" ht="12.75" customHeight="1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>
        <f t="shared" ref="K473:L473" si="471">H473/12</f>
        <v>0</v>
      </c>
      <c r="L473" s="46">
        <f t="shared" si="471"/>
        <v>0</v>
      </c>
      <c r="M473" s="46"/>
      <c r="N473" s="46">
        <f t="shared" si="4"/>
        <v>0</v>
      </c>
      <c r="O473" s="46">
        <f t="shared" si="5"/>
        <v>0</v>
      </c>
      <c r="P473" s="46" t="str">
        <f t="shared" si="6"/>
        <v/>
      </c>
      <c r="Q473" s="46"/>
      <c r="R473" s="14"/>
      <c r="S473" s="14"/>
      <c r="T473" s="14"/>
      <c r="U473" s="14"/>
      <c r="V473" s="14"/>
      <c r="W473" s="14"/>
      <c r="X473" s="14"/>
      <c r="Y473" s="14"/>
      <c r="Z473" s="14"/>
    </row>
    <row r="474" ht="12.75" customHeight="1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>
        <f t="shared" ref="K474:L474" si="472">H474/12</f>
        <v>0</v>
      </c>
      <c r="L474" s="46">
        <f t="shared" si="472"/>
        <v>0</v>
      </c>
      <c r="M474" s="46"/>
      <c r="N474" s="46">
        <f t="shared" si="4"/>
        <v>0</v>
      </c>
      <c r="O474" s="46">
        <f t="shared" si="5"/>
        <v>0</v>
      </c>
      <c r="P474" s="46" t="str">
        <f t="shared" si="6"/>
        <v/>
      </c>
      <c r="Q474" s="46"/>
      <c r="R474" s="14"/>
      <c r="S474" s="14"/>
      <c r="T474" s="14"/>
      <c r="U474" s="14"/>
      <c r="V474" s="14"/>
      <c r="W474" s="14"/>
      <c r="X474" s="14"/>
      <c r="Y474" s="14"/>
      <c r="Z474" s="14"/>
    </row>
    <row r="475" ht="12.75" customHeight="1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>
        <f t="shared" ref="K475:L475" si="473">H475/12</f>
        <v>0</v>
      </c>
      <c r="L475" s="46">
        <f t="shared" si="473"/>
        <v>0</v>
      </c>
      <c r="M475" s="46"/>
      <c r="N475" s="46">
        <f t="shared" si="4"/>
        <v>0</v>
      </c>
      <c r="O475" s="46">
        <f t="shared" si="5"/>
        <v>0</v>
      </c>
      <c r="P475" s="46" t="str">
        <f t="shared" si="6"/>
        <v/>
      </c>
      <c r="Q475" s="46"/>
      <c r="R475" s="14"/>
      <c r="S475" s="14"/>
      <c r="T475" s="14"/>
      <c r="U475" s="14"/>
      <c r="V475" s="14"/>
      <c r="W475" s="14"/>
      <c r="X475" s="14"/>
      <c r="Y475" s="14"/>
      <c r="Z475" s="14"/>
    </row>
    <row r="476" ht="12.75" customHeight="1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>
        <f t="shared" ref="K476:L476" si="474">H476/12</f>
        <v>0</v>
      </c>
      <c r="L476" s="46">
        <f t="shared" si="474"/>
        <v>0</v>
      </c>
      <c r="M476" s="46"/>
      <c r="N476" s="46">
        <f t="shared" si="4"/>
        <v>0</v>
      </c>
      <c r="O476" s="46">
        <f t="shared" si="5"/>
        <v>0</v>
      </c>
      <c r="P476" s="46" t="str">
        <f t="shared" si="6"/>
        <v/>
      </c>
      <c r="Q476" s="46"/>
      <c r="R476" s="14"/>
      <c r="S476" s="14"/>
      <c r="T476" s="14"/>
      <c r="U476" s="14"/>
      <c r="V476" s="14"/>
      <c r="W476" s="14"/>
      <c r="X476" s="14"/>
      <c r="Y476" s="14"/>
      <c r="Z476" s="14"/>
    </row>
    <row r="477" ht="12.75" customHeight="1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>
        <f t="shared" ref="K477:L477" si="475">H477/12</f>
        <v>0</v>
      </c>
      <c r="L477" s="46">
        <f t="shared" si="475"/>
        <v>0</v>
      </c>
      <c r="M477" s="46"/>
      <c r="N477" s="46">
        <f t="shared" si="4"/>
        <v>0</v>
      </c>
      <c r="O477" s="46">
        <f t="shared" si="5"/>
        <v>0</v>
      </c>
      <c r="P477" s="46" t="str">
        <f t="shared" si="6"/>
        <v/>
      </c>
      <c r="Q477" s="46"/>
      <c r="R477" s="14"/>
      <c r="S477" s="14"/>
      <c r="T477" s="14"/>
      <c r="U477" s="14"/>
      <c r="V477" s="14"/>
      <c r="W477" s="14"/>
      <c r="X477" s="14"/>
      <c r="Y477" s="14"/>
      <c r="Z477" s="14"/>
    </row>
    <row r="478" ht="12.75" customHeight="1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>
        <f t="shared" ref="K478:L478" si="476">H478/12</f>
        <v>0</v>
      </c>
      <c r="L478" s="46">
        <f t="shared" si="476"/>
        <v>0</v>
      </c>
      <c r="M478" s="46"/>
      <c r="N478" s="46">
        <f t="shared" si="4"/>
        <v>0</v>
      </c>
      <c r="O478" s="46">
        <f t="shared" si="5"/>
        <v>0</v>
      </c>
      <c r="P478" s="46" t="str">
        <f t="shared" si="6"/>
        <v/>
      </c>
      <c r="Q478" s="46"/>
      <c r="R478" s="14"/>
      <c r="S478" s="14"/>
      <c r="T478" s="14"/>
      <c r="U478" s="14"/>
      <c r="V478" s="14"/>
      <c r="W478" s="14"/>
      <c r="X478" s="14"/>
      <c r="Y478" s="14"/>
      <c r="Z478" s="14"/>
    </row>
    <row r="479" ht="12.75" customHeight="1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>
        <f t="shared" ref="K479:L479" si="477">H479/12</f>
        <v>0</v>
      </c>
      <c r="L479" s="46">
        <f t="shared" si="477"/>
        <v>0</v>
      </c>
      <c r="M479" s="46"/>
      <c r="N479" s="46">
        <f t="shared" si="4"/>
        <v>0</v>
      </c>
      <c r="O479" s="46">
        <f t="shared" si="5"/>
        <v>0</v>
      </c>
      <c r="P479" s="46" t="str">
        <f t="shared" si="6"/>
        <v/>
      </c>
      <c r="Q479" s="46"/>
      <c r="R479" s="14"/>
      <c r="S479" s="14"/>
      <c r="T479" s="14"/>
      <c r="U479" s="14"/>
      <c r="V479" s="14"/>
      <c r="W479" s="14"/>
      <c r="X479" s="14"/>
      <c r="Y479" s="14"/>
      <c r="Z479" s="14"/>
    </row>
    <row r="480" ht="12.75" customHeight="1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>
        <f t="shared" ref="K480:L480" si="478">H480/12</f>
        <v>0</v>
      </c>
      <c r="L480" s="46">
        <f t="shared" si="478"/>
        <v>0</v>
      </c>
      <c r="M480" s="46"/>
      <c r="N480" s="46">
        <f t="shared" si="4"/>
        <v>0</v>
      </c>
      <c r="O480" s="46">
        <f t="shared" si="5"/>
        <v>0</v>
      </c>
      <c r="P480" s="46" t="str">
        <f t="shared" si="6"/>
        <v/>
      </c>
      <c r="Q480" s="46"/>
      <c r="R480" s="14"/>
      <c r="S480" s="14"/>
      <c r="T480" s="14"/>
      <c r="U480" s="14"/>
      <c r="V480" s="14"/>
      <c r="W480" s="14"/>
      <c r="X480" s="14"/>
      <c r="Y480" s="14"/>
      <c r="Z480" s="14"/>
    </row>
    <row r="481" ht="12.75" customHeight="1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>
        <f t="shared" ref="K481:L481" si="479">H481/12</f>
        <v>0</v>
      </c>
      <c r="L481" s="46">
        <f t="shared" si="479"/>
        <v>0</v>
      </c>
      <c r="M481" s="46"/>
      <c r="N481" s="46">
        <f t="shared" si="4"/>
        <v>0</v>
      </c>
      <c r="O481" s="46">
        <f t="shared" si="5"/>
        <v>0</v>
      </c>
      <c r="P481" s="46" t="str">
        <f t="shared" si="6"/>
        <v/>
      </c>
      <c r="Q481" s="46"/>
      <c r="R481" s="14"/>
      <c r="S481" s="14"/>
      <c r="T481" s="14"/>
      <c r="U481" s="14"/>
      <c r="V481" s="14"/>
      <c r="W481" s="14"/>
      <c r="X481" s="14"/>
      <c r="Y481" s="14"/>
      <c r="Z481" s="14"/>
    </row>
    <row r="482" ht="12.75" customHeight="1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>
        <f t="shared" ref="K482:L482" si="480">H482/12</f>
        <v>0</v>
      </c>
      <c r="L482" s="46">
        <f t="shared" si="480"/>
        <v>0</v>
      </c>
      <c r="M482" s="46"/>
      <c r="N482" s="46">
        <f t="shared" si="4"/>
        <v>0</v>
      </c>
      <c r="O482" s="46">
        <f t="shared" si="5"/>
        <v>0</v>
      </c>
      <c r="P482" s="46" t="str">
        <f t="shared" si="6"/>
        <v/>
      </c>
      <c r="Q482" s="46"/>
      <c r="R482" s="14"/>
      <c r="S482" s="14"/>
      <c r="T482" s="14"/>
      <c r="U482" s="14"/>
      <c r="V482" s="14"/>
      <c r="W482" s="14"/>
      <c r="X482" s="14"/>
      <c r="Y482" s="14"/>
      <c r="Z482" s="14"/>
    </row>
    <row r="483" ht="12.75" customHeight="1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>
        <f t="shared" ref="K483:L483" si="481">H483/12</f>
        <v>0</v>
      </c>
      <c r="L483" s="46">
        <f t="shared" si="481"/>
        <v>0</v>
      </c>
      <c r="M483" s="46"/>
      <c r="N483" s="46">
        <f t="shared" si="4"/>
        <v>0</v>
      </c>
      <c r="O483" s="46">
        <f t="shared" si="5"/>
        <v>0</v>
      </c>
      <c r="P483" s="46" t="str">
        <f t="shared" si="6"/>
        <v/>
      </c>
      <c r="Q483" s="46"/>
      <c r="R483" s="14"/>
      <c r="S483" s="14"/>
      <c r="T483" s="14"/>
      <c r="U483" s="14"/>
      <c r="V483" s="14"/>
      <c r="W483" s="14"/>
      <c r="X483" s="14"/>
      <c r="Y483" s="14"/>
      <c r="Z483" s="14"/>
    </row>
    <row r="484" ht="12.75" customHeight="1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>
        <f t="shared" ref="K484:L484" si="482">H484/12</f>
        <v>0</v>
      </c>
      <c r="L484" s="46">
        <f t="shared" si="482"/>
        <v>0</v>
      </c>
      <c r="M484" s="46"/>
      <c r="N484" s="46">
        <f t="shared" si="4"/>
        <v>0</v>
      </c>
      <c r="O484" s="46">
        <f t="shared" si="5"/>
        <v>0</v>
      </c>
      <c r="P484" s="46" t="str">
        <f t="shared" si="6"/>
        <v/>
      </c>
      <c r="Q484" s="46"/>
      <c r="R484" s="14"/>
      <c r="S484" s="14"/>
      <c r="T484" s="14"/>
      <c r="U484" s="14"/>
      <c r="V484" s="14"/>
      <c r="W484" s="14"/>
      <c r="X484" s="14"/>
      <c r="Y484" s="14"/>
      <c r="Z484" s="14"/>
    </row>
    <row r="485" ht="12.75" customHeight="1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>
        <f t="shared" ref="K485:L485" si="483">H485/12</f>
        <v>0</v>
      </c>
      <c r="L485" s="46">
        <f t="shared" si="483"/>
        <v>0</v>
      </c>
      <c r="M485" s="46"/>
      <c r="N485" s="46">
        <f t="shared" si="4"/>
        <v>0</v>
      </c>
      <c r="O485" s="46">
        <f t="shared" si="5"/>
        <v>0</v>
      </c>
      <c r="P485" s="46" t="str">
        <f t="shared" si="6"/>
        <v/>
      </c>
      <c r="Q485" s="46"/>
      <c r="R485" s="14"/>
      <c r="S485" s="14"/>
      <c r="T485" s="14"/>
      <c r="U485" s="14"/>
      <c r="V485" s="14"/>
      <c r="W485" s="14"/>
      <c r="X485" s="14"/>
      <c r="Y485" s="14"/>
      <c r="Z485" s="14"/>
    </row>
    <row r="486" ht="12.75" customHeight="1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>
        <f t="shared" ref="K486:L486" si="484">H486/12</f>
        <v>0</v>
      </c>
      <c r="L486" s="46">
        <f t="shared" si="484"/>
        <v>0</v>
      </c>
      <c r="M486" s="46"/>
      <c r="N486" s="46">
        <f t="shared" si="4"/>
        <v>0</v>
      </c>
      <c r="O486" s="46">
        <f t="shared" si="5"/>
        <v>0</v>
      </c>
      <c r="P486" s="46" t="str">
        <f t="shared" si="6"/>
        <v/>
      </c>
      <c r="Q486" s="46"/>
      <c r="R486" s="14"/>
      <c r="S486" s="14"/>
      <c r="T486" s="14"/>
      <c r="U486" s="14"/>
      <c r="V486" s="14"/>
      <c r="W486" s="14"/>
      <c r="X486" s="14"/>
      <c r="Y486" s="14"/>
      <c r="Z486" s="14"/>
    </row>
    <row r="487" ht="12.75" customHeight="1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>
        <f t="shared" ref="K487:L487" si="485">H487/12</f>
        <v>0</v>
      </c>
      <c r="L487" s="46">
        <f t="shared" si="485"/>
        <v>0</v>
      </c>
      <c r="M487" s="46"/>
      <c r="N487" s="46">
        <f t="shared" si="4"/>
        <v>0</v>
      </c>
      <c r="O487" s="46">
        <f t="shared" si="5"/>
        <v>0</v>
      </c>
      <c r="P487" s="46" t="str">
        <f t="shared" si="6"/>
        <v/>
      </c>
      <c r="Q487" s="46"/>
      <c r="R487" s="14"/>
      <c r="S487" s="14"/>
      <c r="T487" s="14"/>
      <c r="U487" s="14"/>
      <c r="V487" s="14"/>
      <c r="W487" s="14"/>
      <c r="X487" s="14"/>
      <c r="Y487" s="14"/>
      <c r="Z487" s="14"/>
    </row>
    <row r="488" ht="12.75" customHeight="1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>
        <f t="shared" ref="K488:L488" si="486">H488/12</f>
        <v>0</v>
      </c>
      <c r="L488" s="46">
        <f t="shared" si="486"/>
        <v>0</v>
      </c>
      <c r="M488" s="46"/>
      <c r="N488" s="46">
        <f t="shared" si="4"/>
        <v>0</v>
      </c>
      <c r="O488" s="46">
        <f t="shared" si="5"/>
        <v>0</v>
      </c>
      <c r="P488" s="46" t="str">
        <f t="shared" si="6"/>
        <v/>
      </c>
      <c r="Q488" s="46"/>
      <c r="R488" s="14"/>
      <c r="S488" s="14"/>
      <c r="T488" s="14"/>
      <c r="U488" s="14"/>
      <c r="V488" s="14"/>
      <c r="W488" s="14"/>
      <c r="X488" s="14"/>
      <c r="Y488" s="14"/>
      <c r="Z488" s="14"/>
    </row>
    <row r="489" ht="12.75" customHeight="1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>
        <f t="shared" ref="K489:L489" si="487">H489/12</f>
        <v>0</v>
      </c>
      <c r="L489" s="46">
        <f t="shared" si="487"/>
        <v>0</v>
      </c>
      <c r="M489" s="46"/>
      <c r="N489" s="46">
        <f t="shared" si="4"/>
        <v>0</v>
      </c>
      <c r="O489" s="46">
        <f t="shared" si="5"/>
        <v>0</v>
      </c>
      <c r="P489" s="46" t="str">
        <f t="shared" si="6"/>
        <v/>
      </c>
      <c r="Q489" s="46"/>
      <c r="R489" s="14"/>
      <c r="S489" s="14"/>
      <c r="T489" s="14"/>
      <c r="U489" s="14"/>
      <c r="V489" s="14"/>
      <c r="W489" s="14"/>
      <c r="X489" s="14"/>
      <c r="Y489" s="14"/>
      <c r="Z489" s="14"/>
    </row>
    <row r="490" ht="12.75" customHeight="1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>
        <f t="shared" ref="K490:L490" si="488">H490/12</f>
        <v>0</v>
      </c>
      <c r="L490" s="46">
        <f t="shared" si="488"/>
        <v>0</v>
      </c>
      <c r="M490" s="46"/>
      <c r="N490" s="46">
        <f t="shared" si="4"/>
        <v>0</v>
      </c>
      <c r="O490" s="46">
        <f t="shared" si="5"/>
        <v>0</v>
      </c>
      <c r="P490" s="46" t="str">
        <f t="shared" si="6"/>
        <v/>
      </c>
      <c r="Q490" s="46"/>
      <c r="R490" s="14"/>
      <c r="S490" s="14"/>
      <c r="T490" s="14"/>
      <c r="U490" s="14"/>
      <c r="V490" s="14"/>
      <c r="W490" s="14"/>
      <c r="X490" s="14"/>
      <c r="Y490" s="14"/>
      <c r="Z490" s="14"/>
    </row>
    <row r="491" ht="12.75" customHeight="1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>
        <f t="shared" ref="K491:L491" si="489">H491/12</f>
        <v>0</v>
      </c>
      <c r="L491" s="46">
        <f t="shared" si="489"/>
        <v>0</v>
      </c>
      <c r="M491" s="46"/>
      <c r="N491" s="46">
        <f t="shared" si="4"/>
        <v>0</v>
      </c>
      <c r="O491" s="46">
        <f t="shared" si="5"/>
        <v>0</v>
      </c>
      <c r="P491" s="46" t="str">
        <f t="shared" si="6"/>
        <v/>
      </c>
      <c r="Q491" s="46"/>
      <c r="R491" s="14"/>
      <c r="S491" s="14"/>
      <c r="T491" s="14"/>
      <c r="U491" s="14"/>
      <c r="V491" s="14"/>
      <c r="W491" s="14"/>
      <c r="X491" s="14"/>
      <c r="Y491" s="14"/>
      <c r="Z491" s="14"/>
    </row>
    <row r="492" ht="12.75" customHeight="1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>
        <f t="shared" ref="K492:L492" si="490">H492/12</f>
        <v>0</v>
      </c>
      <c r="L492" s="46">
        <f t="shared" si="490"/>
        <v>0</v>
      </c>
      <c r="M492" s="46"/>
      <c r="N492" s="46">
        <f t="shared" si="4"/>
        <v>0</v>
      </c>
      <c r="O492" s="46">
        <f t="shared" si="5"/>
        <v>0</v>
      </c>
      <c r="P492" s="46" t="str">
        <f t="shared" si="6"/>
        <v/>
      </c>
      <c r="Q492" s="46"/>
      <c r="R492" s="14"/>
      <c r="S492" s="14"/>
      <c r="T492" s="14"/>
      <c r="U492" s="14"/>
      <c r="V492" s="14"/>
      <c r="W492" s="14"/>
      <c r="X492" s="14"/>
      <c r="Y492" s="14"/>
      <c r="Z492" s="14"/>
    </row>
    <row r="493" ht="12.75" customHeight="1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>
        <f t="shared" ref="K493:L493" si="491">H493/12</f>
        <v>0</v>
      </c>
      <c r="L493" s="46">
        <f t="shared" si="491"/>
        <v>0</v>
      </c>
      <c r="M493" s="46"/>
      <c r="N493" s="46">
        <f t="shared" si="4"/>
        <v>0</v>
      </c>
      <c r="O493" s="46">
        <f t="shared" si="5"/>
        <v>0</v>
      </c>
      <c r="P493" s="46" t="str">
        <f t="shared" si="6"/>
        <v/>
      </c>
      <c r="Q493" s="46"/>
      <c r="R493" s="14"/>
      <c r="S493" s="14"/>
      <c r="T493" s="14"/>
      <c r="U493" s="14"/>
      <c r="V493" s="14"/>
      <c r="W493" s="14"/>
      <c r="X493" s="14"/>
      <c r="Y493" s="14"/>
      <c r="Z493" s="14"/>
    </row>
    <row r="494" ht="12.75" customHeight="1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>
        <f t="shared" ref="K494:L494" si="492">H494/12</f>
        <v>0</v>
      </c>
      <c r="L494" s="46">
        <f t="shared" si="492"/>
        <v>0</v>
      </c>
      <c r="M494" s="46"/>
      <c r="N494" s="46">
        <f t="shared" si="4"/>
        <v>0</v>
      </c>
      <c r="O494" s="46">
        <f t="shared" si="5"/>
        <v>0</v>
      </c>
      <c r="P494" s="46" t="str">
        <f t="shared" si="6"/>
        <v/>
      </c>
      <c r="Q494" s="46"/>
      <c r="R494" s="14"/>
      <c r="S494" s="14"/>
      <c r="T494" s="14"/>
      <c r="U494" s="14"/>
      <c r="V494" s="14"/>
      <c r="W494" s="14"/>
      <c r="X494" s="14"/>
      <c r="Y494" s="14"/>
      <c r="Z494" s="14"/>
    </row>
    <row r="495" ht="12.75" customHeight="1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>
        <f t="shared" ref="K495:L495" si="493">H495/12</f>
        <v>0</v>
      </c>
      <c r="L495" s="46">
        <f t="shared" si="493"/>
        <v>0</v>
      </c>
      <c r="M495" s="46"/>
      <c r="N495" s="46">
        <f t="shared" si="4"/>
        <v>0</v>
      </c>
      <c r="O495" s="46">
        <f t="shared" si="5"/>
        <v>0</v>
      </c>
      <c r="P495" s="46" t="str">
        <f t="shared" si="6"/>
        <v/>
      </c>
      <c r="Q495" s="46"/>
      <c r="R495" s="14"/>
      <c r="S495" s="14"/>
      <c r="T495" s="14"/>
      <c r="U495" s="14"/>
      <c r="V495" s="14"/>
      <c r="W495" s="14"/>
      <c r="X495" s="14"/>
      <c r="Y495" s="14"/>
      <c r="Z495" s="14"/>
    </row>
    <row r="496" ht="12.75" customHeight="1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>
        <f t="shared" ref="K496:L496" si="494">H496/12</f>
        <v>0</v>
      </c>
      <c r="L496" s="46">
        <f t="shared" si="494"/>
        <v>0</v>
      </c>
      <c r="M496" s="46"/>
      <c r="N496" s="46">
        <f t="shared" si="4"/>
        <v>0</v>
      </c>
      <c r="O496" s="46">
        <f t="shared" si="5"/>
        <v>0</v>
      </c>
      <c r="P496" s="46" t="str">
        <f t="shared" si="6"/>
        <v/>
      </c>
      <c r="Q496" s="46"/>
      <c r="R496" s="14"/>
      <c r="S496" s="14"/>
      <c r="T496" s="14"/>
      <c r="U496" s="14"/>
      <c r="V496" s="14"/>
      <c r="W496" s="14"/>
      <c r="X496" s="14"/>
      <c r="Y496" s="14"/>
      <c r="Z496" s="14"/>
    </row>
    <row r="497" ht="12.75" customHeight="1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>
        <f t="shared" ref="K497:L497" si="495">H497/12</f>
        <v>0</v>
      </c>
      <c r="L497" s="46">
        <f t="shared" si="495"/>
        <v>0</v>
      </c>
      <c r="M497" s="46"/>
      <c r="N497" s="46">
        <f t="shared" si="4"/>
        <v>0</v>
      </c>
      <c r="O497" s="46">
        <f t="shared" si="5"/>
        <v>0</v>
      </c>
      <c r="P497" s="46" t="str">
        <f t="shared" si="6"/>
        <v/>
      </c>
      <c r="Q497" s="46"/>
      <c r="R497" s="14"/>
      <c r="S497" s="14"/>
      <c r="T497" s="14"/>
      <c r="U497" s="14"/>
      <c r="V497" s="14"/>
      <c r="W497" s="14"/>
      <c r="X497" s="14"/>
      <c r="Y497" s="14"/>
      <c r="Z497" s="14"/>
    </row>
    <row r="498" ht="12.75" customHeight="1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>
        <f t="shared" ref="K498:L498" si="496">H498/12</f>
        <v>0</v>
      </c>
      <c r="L498" s="46">
        <f t="shared" si="496"/>
        <v>0</v>
      </c>
      <c r="M498" s="46"/>
      <c r="N498" s="46">
        <f t="shared" si="4"/>
        <v>0</v>
      </c>
      <c r="O498" s="46">
        <f t="shared" si="5"/>
        <v>0</v>
      </c>
      <c r="P498" s="46" t="str">
        <f t="shared" si="6"/>
        <v/>
      </c>
      <c r="Q498" s="46"/>
      <c r="R498" s="14"/>
      <c r="S498" s="14"/>
      <c r="T498" s="14"/>
      <c r="U498" s="14"/>
      <c r="V498" s="14"/>
      <c r="W498" s="14"/>
      <c r="X498" s="14"/>
      <c r="Y498" s="14"/>
      <c r="Z498" s="14"/>
    </row>
    <row r="499" ht="12.75" customHeight="1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>
        <f t="shared" ref="K499:L499" si="497">H499/12</f>
        <v>0</v>
      </c>
      <c r="L499" s="46">
        <f t="shared" si="497"/>
        <v>0</v>
      </c>
      <c r="M499" s="46"/>
      <c r="N499" s="46">
        <f t="shared" si="4"/>
        <v>0</v>
      </c>
      <c r="O499" s="46">
        <f t="shared" si="5"/>
        <v>0</v>
      </c>
      <c r="P499" s="46" t="str">
        <f t="shared" si="6"/>
        <v/>
      </c>
      <c r="Q499" s="46"/>
      <c r="R499" s="14"/>
      <c r="S499" s="14"/>
      <c r="T499" s="14"/>
      <c r="U499" s="14"/>
      <c r="V499" s="14"/>
      <c r="W499" s="14"/>
      <c r="X499" s="14"/>
      <c r="Y499" s="14"/>
      <c r="Z499" s="14"/>
    </row>
    <row r="500" ht="12.75" customHeight="1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>
        <f t="shared" ref="K500:L500" si="498">H500/12</f>
        <v>0</v>
      </c>
      <c r="L500" s="46">
        <f t="shared" si="498"/>
        <v>0</v>
      </c>
      <c r="M500" s="46"/>
      <c r="N500" s="46">
        <f t="shared" si="4"/>
        <v>0</v>
      </c>
      <c r="O500" s="46">
        <f t="shared" si="5"/>
        <v>0</v>
      </c>
      <c r="P500" s="46" t="str">
        <f t="shared" si="6"/>
        <v/>
      </c>
      <c r="Q500" s="46"/>
      <c r="R500" s="14"/>
      <c r="S500" s="14"/>
      <c r="T500" s="14"/>
      <c r="U500" s="14"/>
      <c r="V500" s="14"/>
      <c r="W500" s="14"/>
      <c r="X500" s="14"/>
      <c r="Y500" s="14"/>
      <c r="Z500" s="14"/>
    </row>
    <row r="501" ht="12.75" customHeight="1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>
        <f t="shared" ref="K501:L501" si="499">H501/12</f>
        <v>0</v>
      </c>
      <c r="L501" s="46">
        <f t="shared" si="499"/>
        <v>0</v>
      </c>
      <c r="M501" s="46"/>
      <c r="N501" s="46">
        <f t="shared" si="4"/>
        <v>0</v>
      </c>
      <c r="O501" s="46">
        <f t="shared" si="5"/>
        <v>0</v>
      </c>
      <c r="P501" s="46" t="str">
        <f t="shared" si="6"/>
        <v/>
      </c>
      <c r="Q501" s="46"/>
      <c r="R501" s="14"/>
      <c r="S501" s="14"/>
      <c r="T501" s="14"/>
      <c r="U501" s="14"/>
      <c r="V501" s="14"/>
      <c r="W501" s="14"/>
      <c r="X501" s="14"/>
      <c r="Y501" s="14"/>
      <c r="Z501" s="14"/>
    </row>
    <row r="502" ht="12.75" customHeight="1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>
        <f t="shared" ref="K502:L502" si="500">H502/12</f>
        <v>0</v>
      </c>
      <c r="L502" s="46">
        <f t="shared" si="500"/>
        <v>0</v>
      </c>
      <c r="M502" s="46"/>
      <c r="N502" s="46">
        <f t="shared" si="4"/>
        <v>0</v>
      </c>
      <c r="O502" s="46">
        <f t="shared" si="5"/>
        <v>0</v>
      </c>
      <c r="P502" s="46" t="str">
        <f t="shared" si="6"/>
        <v/>
      </c>
      <c r="Q502" s="46"/>
      <c r="R502" s="14"/>
      <c r="S502" s="14"/>
      <c r="T502" s="14"/>
      <c r="U502" s="14"/>
      <c r="V502" s="14"/>
      <c r="W502" s="14"/>
      <c r="X502" s="14"/>
      <c r="Y502" s="14"/>
      <c r="Z502" s="14"/>
    </row>
    <row r="503" ht="12.75" customHeight="1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>
        <f t="shared" ref="K503:L503" si="501">H503/12</f>
        <v>0</v>
      </c>
      <c r="L503" s="46">
        <f t="shared" si="501"/>
        <v>0</v>
      </c>
      <c r="M503" s="46"/>
      <c r="N503" s="46">
        <f t="shared" si="4"/>
        <v>0</v>
      </c>
      <c r="O503" s="46">
        <f t="shared" si="5"/>
        <v>0</v>
      </c>
      <c r="P503" s="46" t="str">
        <f t="shared" si="6"/>
        <v/>
      </c>
      <c r="Q503" s="46"/>
      <c r="R503" s="14"/>
      <c r="S503" s="14"/>
      <c r="T503" s="14"/>
      <c r="U503" s="14"/>
      <c r="V503" s="14"/>
      <c r="W503" s="14"/>
      <c r="X503" s="14"/>
      <c r="Y503" s="14"/>
      <c r="Z503" s="14"/>
    </row>
    <row r="504" ht="12.75" customHeight="1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>
        <f t="shared" ref="K504:L504" si="502">H504/12</f>
        <v>0</v>
      </c>
      <c r="L504" s="46">
        <f t="shared" si="502"/>
        <v>0</v>
      </c>
      <c r="M504" s="46"/>
      <c r="N504" s="46">
        <f t="shared" si="4"/>
        <v>0</v>
      </c>
      <c r="O504" s="46">
        <f t="shared" si="5"/>
        <v>0</v>
      </c>
      <c r="P504" s="46" t="str">
        <f t="shared" si="6"/>
        <v/>
      </c>
      <c r="Q504" s="46"/>
      <c r="R504" s="14"/>
      <c r="S504" s="14"/>
      <c r="T504" s="14"/>
      <c r="U504" s="14"/>
      <c r="V504" s="14"/>
      <c r="W504" s="14"/>
      <c r="X504" s="14"/>
      <c r="Y504" s="14"/>
      <c r="Z504" s="14"/>
    </row>
    <row r="505" ht="12.75" customHeight="1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>
        <f t="shared" ref="K505:L505" si="503">H505/12</f>
        <v>0</v>
      </c>
      <c r="L505" s="46">
        <f t="shared" si="503"/>
        <v>0</v>
      </c>
      <c r="M505" s="46"/>
      <c r="N505" s="46">
        <f t="shared" si="4"/>
        <v>0</v>
      </c>
      <c r="O505" s="46">
        <f t="shared" si="5"/>
        <v>0</v>
      </c>
      <c r="P505" s="46" t="str">
        <f t="shared" si="6"/>
        <v/>
      </c>
      <c r="Q505" s="46"/>
      <c r="R505" s="14"/>
      <c r="S505" s="14"/>
      <c r="T505" s="14"/>
      <c r="U505" s="14"/>
      <c r="V505" s="14"/>
      <c r="W505" s="14"/>
      <c r="X505" s="14"/>
      <c r="Y505" s="14"/>
      <c r="Z505" s="14"/>
    </row>
    <row r="506" ht="12.75" customHeight="1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>
        <f t="shared" ref="K506:L506" si="504">H506/12</f>
        <v>0</v>
      </c>
      <c r="L506" s="46">
        <f t="shared" si="504"/>
        <v>0</v>
      </c>
      <c r="M506" s="46"/>
      <c r="N506" s="46">
        <f t="shared" si="4"/>
        <v>0</v>
      </c>
      <c r="O506" s="46">
        <f t="shared" si="5"/>
        <v>0</v>
      </c>
      <c r="P506" s="46" t="str">
        <f t="shared" si="6"/>
        <v/>
      </c>
      <c r="Q506" s="46"/>
      <c r="R506" s="14"/>
      <c r="S506" s="14"/>
      <c r="T506" s="14"/>
      <c r="U506" s="14"/>
      <c r="V506" s="14"/>
      <c r="W506" s="14"/>
      <c r="X506" s="14"/>
      <c r="Y506" s="14"/>
      <c r="Z506" s="14"/>
    </row>
    <row r="507" ht="12.75" customHeight="1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>
        <f t="shared" ref="K507:L507" si="505">H507/12</f>
        <v>0</v>
      </c>
      <c r="L507" s="46">
        <f t="shared" si="505"/>
        <v>0</v>
      </c>
      <c r="M507" s="46"/>
      <c r="N507" s="46">
        <f t="shared" si="4"/>
        <v>0</v>
      </c>
      <c r="O507" s="46">
        <f t="shared" si="5"/>
        <v>0</v>
      </c>
      <c r="P507" s="46" t="str">
        <f t="shared" si="6"/>
        <v/>
      </c>
      <c r="Q507" s="46"/>
      <c r="R507" s="14"/>
      <c r="S507" s="14"/>
      <c r="T507" s="14"/>
      <c r="U507" s="14"/>
      <c r="V507" s="14"/>
      <c r="W507" s="14"/>
      <c r="X507" s="14"/>
      <c r="Y507" s="14"/>
      <c r="Z507" s="14"/>
    </row>
    <row r="508" ht="12.75" customHeight="1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>
        <f t="shared" ref="K508:L508" si="506">H508/12</f>
        <v>0</v>
      </c>
      <c r="L508" s="46">
        <f t="shared" si="506"/>
        <v>0</v>
      </c>
      <c r="M508" s="46"/>
      <c r="N508" s="46">
        <f t="shared" si="4"/>
        <v>0</v>
      </c>
      <c r="O508" s="46">
        <f t="shared" si="5"/>
        <v>0</v>
      </c>
      <c r="P508" s="46" t="str">
        <f t="shared" si="6"/>
        <v/>
      </c>
      <c r="Q508" s="46"/>
      <c r="R508" s="14"/>
      <c r="S508" s="14"/>
      <c r="T508" s="14"/>
      <c r="U508" s="14"/>
      <c r="V508" s="14"/>
      <c r="W508" s="14"/>
      <c r="X508" s="14"/>
      <c r="Y508" s="14"/>
      <c r="Z508" s="14"/>
    </row>
    <row r="509" ht="12.75" customHeight="1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>
        <f t="shared" ref="K509:L509" si="507">H509/12</f>
        <v>0</v>
      </c>
      <c r="L509" s="46">
        <f t="shared" si="507"/>
        <v>0</v>
      </c>
      <c r="M509" s="46"/>
      <c r="N509" s="46">
        <f t="shared" si="4"/>
        <v>0</v>
      </c>
      <c r="O509" s="46">
        <f t="shared" si="5"/>
        <v>0</v>
      </c>
      <c r="P509" s="46" t="str">
        <f t="shared" si="6"/>
        <v/>
      </c>
      <c r="Q509" s="46"/>
      <c r="R509" s="14"/>
      <c r="S509" s="14"/>
      <c r="T509" s="14"/>
      <c r="U509" s="14"/>
      <c r="V509" s="14"/>
      <c r="W509" s="14"/>
      <c r="X509" s="14"/>
      <c r="Y509" s="14"/>
      <c r="Z509" s="14"/>
    </row>
    <row r="510" ht="12.75" customHeight="1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>
        <f t="shared" ref="K510:L510" si="508">H510/12</f>
        <v>0</v>
      </c>
      <c r="L510" s="46">
        <f t="shared" si="508"/>
        <v>0</v>
      </c>
      <c r="M510" s="46"/>
      <c r="N510" s="46">
        <f t="shared" si="4"/>
        <v>0</v>
      </c>
      <c r="O510" s="46">
        <f t="shared" si="5"/>
        <v>0</v>
      </c>
      <c r="P510" s="46" t="str">
        <f t="shared" si="6"/>
        <v/>
      </c>
      <c r="Q510" s="46"/>
      <c r="R510" s="14"/>
      <c r="S510" s="14"/>
      <c r="T510" s="14"/>
      <c r="U510" s="14"/>
      <c r="V510" s="14"/>
      <c r="W510" s="14"/>
      <c r="X510" s="14"/>
      <c r="Y510" s="14"/>
      <c r="Z510" s="14"/>
    </row>
    <row r="511" ht="12.75" customHeight="1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>
        <f t="shared" ref="K511:L511" si="509">H511/12</f>
        <v>0</v>
      </c>
      <c r="L511" s="46">
        <f t="shared" si="509"/>
        <v>0</v>
      </c>
      <c r="M511" s="46"/>
      <c r="N511" s="46">
        <f t="shared" si="4"/>
        <v>0</v>
      </c>
      <c r="O511" s="46">
        <f t="shared" si="5"/>
        <v>0</v>
      </c>
      <c r="P511" s="46" t="str">
        <f t="shared" si="6"/>
        <v/>
      </c>
      <c r="Q511" s="46"/>
      <c r="R511" s="14"/>
      <c r="S511" s="14"/>
      <c r="T511" s="14"/>
      <c r="U511" s="14"/>
      <c r="V511" s="14"/>
      <c r="W511" s="14"/>
      <c r="X511" s="14"/>
      <c r="Y511" s="14"/>
      <c r="Z511" s="14"/>
    </row>
    <row r="512" ht="12.75" customHeight="1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>
        <f t="shared" ref="K512:L512" si="510">H512/12</f>
        <v>0</v>
      </c>
      <c r="L512" s="46">
        <f t="shared" si="510"/>
        <v>0</v>
      </c>
      <c r="M512" s="46"/>
      <c r="N512" s="46">
        <f t="shared" si="4"/>
        <v>0</v>
      </c>
      <c r="O512" s="46">
        <f t="shared" si="5"/>
        <v>0</v>
      </c>
      <c r="P512" s="46" t="str">
        <f t="shared" si="6"/>
        <v/>
      </c>
      <c r="Q512" s="46"/>
      <c r="R512" s="14"/>
      <c r="S512" s="14"/>
      <c r="T512" s="14"/>
      <c r="U512" s="14"/>
      <c r="V512" s="14"/>
      <c r="W512" s="14"/>
      <c r="X512" s="14"/>
      <c r="Y512" s="14"/>
      <c r="Z512" s="14"/>
    </row>
    <row r="513" ht="12.75" customHeight="1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>
        <f t="shared" ref="K513:L513" si="511">H513/12</f>
        <v>0</v>
      </c>
      <c r="L513" s="46">
        <f t="shared" si="511"/>
        <v>0</v>
      </c>
      <c r="M513" s="46"/>
      <c r="N513" s="46">
        <f t="shared" si="4"/>
        <v>0</v>
      </c>
      <c r="O513" s="46">
        <f t="shared" si="5"/>
        <v>0</v>
      </c>
      <c r="P513" s="46" t="str">
        <f t="shared" si="6"/>
        <v/>
      </c>
      <c r="Q513" s="46"/>
      <c r="R513" s="14"/>
      <c r="S513" s="14"/>
      <c r="T513" s="14"/>
      <c r="U513" s="14"/>
      <c r="V513" s="14"/>
      <c r="W513" s="14"/>
      <c r="X513" s="14"/>
      <c r="Y513" s="14"/>
      <c r="Z513" s="14"/>
    </row>
    <row r="514" ht="12.75" customHeight="1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>
        <f t="shared" ref="K514:L514" si="512">H514/12</f>
        <v>0</v>
      </c>
      <c r="L514" s="46">
        <f t="shared" si="512"/>
        <v>0</v>
      </c>
      <c r="M514" s="46"/>
      <c r="N514" s="46">
        <f t="shared" si="4"/>
        <v>0</v>
      </c>
      <c r="O514" s="46">
        <f t="shared" si="5"/>
        <v>0</v>
      </c>
      <c r="P514" s="46" t="str">
        <f t="shared" si="6"/>
        <v/>
      </c>
      <c r="Q514" s="46"/>
      <c r="R514" s="14"/>
      <c r="S514" s="14"/>
      <c r="T514" s="14"/>
      <c r="U514" s="14"/>
      <c r="V514" s="14"/>
      <c r="W514" s="14"/>
      <c r="X514" s="14"/>
      <c r="Y514" s="14"/>
      <c r="Z514" s="14"/>
    </row>
    <row r="515" ht="12.75" customHeight="1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>
        <f t="shared" ref="K515:L515" si="513">H515/12</f>
        <v>0</v>
      </c>
      <c r="L515" s="46">
        <f t="shared" si="513"/>
        <v>0</v>
      </c>
      <c r="M515" s="46"/>
      <c r="N515" s="46">
        <f t="shared" si="4"/>
        <v>0</v>
      </c>
      <c r="O515" s="46">
        <f t="shared" si="5"/>
        <v>0</v>
      </c>
      <c r="P515" s="46" t="str">
        <f t="shared" si="6"/>
        <v/>
      </c>
      <c r="Q515" s="46"/>
      <c r="R515" s="14"/>
      <c r="S515" s="14"/>
      <c r="T515" s="14"/>
      <c r="U515" s="14"/>
      <c r="V515" s="14"/>
      <c r="W515" s="14"/>
      <c r="X515" s="14"/>
      <c r="Y515" s="14"/>
      <c r="Z515" s="14"/>
    </row>
    <row r="516" ht="12.75" customHeight="1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>
        <f t="shared" ref="K516:L516" si="514">H516/12</f>
        <v>0</v>
      </c>
      <c r="L516" s="46">
        <f t="shared" si="514"/>
        <v>0</v>
      </c>
      <c r="M516" s="46"/>
      <c r="N516" s="46">
        <f t="shared" si="4"/>
        <v>0</v>
      </c>
      <c r="O516" s="46">
        <f t="shared" si="5"/>
        <v>0</v>
      </c>
      <c r="P516" s="46" t="str">
        <f t="shared" si="6"/>
        <v/>
      </c>
      <c r="Q516" s="46"/>
      <c r="R516" s="14"/>
      <c r="S516" s="14"/>
      <c r="T516" s="14"/>
      <c r="U516" s="14"/>
      <c r="V516" s="14"/>
      <c r="W516" s="14"/>
      <c r="X516" s="14"/>
      <c r="Y516" s="14"/>
      <c r="Z516" s="14"/>
    </row>
    <row r="517" ht="12.75" customHeight="1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>
        <f t="shared" ref="K517:L517" si="515">H517/12</f>
        <v>0</v>
      </c>
      <c r="L517" s="46">
        <f t="shared" si="515"/>
        <v>0</v>
      </c>
      <c r="M517" s="46"/>
      <c r="N517" s="46">
        <f t="shared" si="4"/>
        <v>0</v>
      </c>
      <c r="O517" s="46">
        <f t="shared" si="5"/>
        <v>0</v>
      </c>
      <c r="P517" s="46" t="str">
        <f t="shared" si="6"/>
        <v/>
      </c>
      <c r="Q517" s="46"/>
      <c r="R517" s="14"/>
      <c r="S517" s="14"/>
      <c r="T517" s="14"/>
      <c r="U517" s="14"/>
      <c r="V517" s="14"/>
      <c r="W517" s="14"/>
      <c r="X517" s="14"/>
      <c r="Y517" s="14"/>
      <c r="Z517" s="14"/>
    </row>
    <row r="518" ht="12.75" customHeight="1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>
        <f t="shared" ref="K518:L518" si="516">H518/12</f>
        <v>0</v>
      </c>
      <c r="L518" s="46">
        <f t="shared" si="516"/>
        <v>0</v>
      </c>
      <c r="M518" s="46"/>
      <c r="N518" s="46">
        <f t="shared" si="4"/>
        <v>0</v>
      </c>
      <c r="O518" s="46">
        <f t="shared" si="5"/>
        <v>0</v>
      </c>
      <c r="P518" s="46" t="str">
        <f t="shared" si="6"/>
        <v/>
      </c>
      <c r="Q518" s="46"/>
      <c r="R518" s="14"/>
      <c r="S518" s="14"/>
      <c r="T518" s="14"/>
      <c r="U518" s="14"/>
      <c r="V518" s="14"/>
      <c r="W518" s="14"/>
      <c r="X518" s="14"/>
      <c r="Y518" s="14"/>
      <c r="Z518" s="14"/>
    </row>
    <row r="519" ht="12.75" customHeight="1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>
        <f t="shared" ref="K519:L519" si="517">H519/12</f>
        <v>0</v>
      </c>
      <c r="L519" s="46">
        <f t="shared" si="517"/>
        <v>0</v>
      </c>
      <c r="M519" s="46"/>
      <c r="N519" s="46">
        <f t="shared" si="4"/>
        <v>0</v>
      </c>
      <c r="O519" s="46">
        <f t="shared" si="5"/>
        <v>0</v>
      </c>
      <c r="P519" s="46" t="str">
        <f t="shared" si="6"/>
        <v/>
      </c>
      <c r="Q519" s="46"/>
      <c r="R519" s="14"/>
      <c r="S519" s="14"/>
      <c r="T519" s="14"/>
      <c r="U519" s="14"/>
      <c r="V519" s="14"/>
      <c r="W519" s="14"/>
      <c r="X519" s="14"/>
      <c r="Y519" s="14"/>
      <c r="Z519" s="14"/>
    </row>
    <row r="520" ht="12.75" customHeight="1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>
        <f t="shared" ref="K520:L520" si="518">H520/12</f>
        <v>0</v>
      </c>
      <c r="L520" s="46">
        <f t="shared" si="518"/>
        <v>0</v>
      </c>
      <c r="M520" s="46"/>
      <c r="N520" s="46">
        <f t="shared" si="4"/>
        <v>0</v>
      </c>
      <c r="O520" s="46">
        <f t="shared" si="5"/>
        <v>0</v>
      </c>
      <c r="P520" s="46" t="str">
        <f t="shared" si="6"/>
        <v/>
      </c>
      <c r="Q520" s="46"/>
      <c r="R520" s="14"/>
      <c r="S520" s="14"/>
      <c r="T520" s="14"/>
      <c r="U520" s="14"/>
      <c r="V520" s="14"/>
      <c r="W520" s="14"/>
      <c r="X520" s="14"/>
      <c r="Y520" s="14"/>
      <c r="Z520" s="14"/>
    </row>
    <row r="521" ht="12.75" customHeight="1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>
        <f t="shared" ref="K521:L521" si="519">H521/12</f>
        <v>0</v>
      </c>
      <c r="L521" s="46">
        <f t="shared" si="519"/>
        <v>0</v>
      </c>
      <c r="M521" s="46"/>
      <c r="N521" s="46">
        <f t="shared" si="4"/>
        <v>0</v>
      </c>
      <c r="O521" s="46">
        <f t="shared" si="5"/>
        <v>0</v>
      </c>
      <c r="P521" s="46" t="str">
        <f t="shared" si="6"/>
        <v/>
      </c>
      <c r="Q521" s="46"/>
      <c r="R521" s="14"/>
      <c r="S521" s="14"/>
      <c r="T521" s="14"/>
      <c r="U521" s="14"/>
      <c r="V521" s="14"/>
      <c r="W521" s="14"/>
      <c r="X521" s="14"/>
      <c r="Y521" s="14"/>
      <c r="Z521" s="14"/>
    </row>
    <row r="522" ht="12.75" customHeight="1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>
        <f t="shared" ref="K522:L522" si="520">H522/12</f>
        <v>0</v>
      </c>
      <c r="L522" s="46">
        <f t="shared" si="520"/>
        <v>0</v>
      </c>
      <c r="M522" s="46"/>
      <c r="N522" s="46">
        <f t="shared" si="4"/>
        <v>0</v>
      </c>
      <c r="O522" s="46">
        <f t="shared" si="5"/>
        <v>0</v>
      </c>
      <c r="P522" s="46" t="str">
        <f t="shared" si="6"/>
        <v/>
      </c>
      <c r="Q522" s="46"/>
      <c r="R522" s="14"/>
      <c r="S522" s="14"/>
      <c r="T522" s="14"/>
      <c r="U522" s="14"/>
      <c r="V522" s="14"/>
      <c r="W522" s="14"/>
      <c r="X522" s="14"/>
      <c r="Y522" s="14"/>
      <c r="Z522" s="14"/>
    </row>
    <row r="523" ht="12.75" customHeight="1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>
        <f t="shared" ref="K523:L523" si="521">H523/12</f>
        <v>0</v>
      </c>
      <c r="L523" s="46">
        <f t="shared" si="521"/>
        <v>0</v>
      </c>
      <c r="M523" s="46"/>
      <c r="N523" s="46">
        <f t="shared" si="4"/>
        <v>0</v>
      </c>
      <c r="O523" s="46">
        <f t="shared" si="5"/>
        <v>0</v>
      </c>
      <c r="P523" s="46" t="str">
        <f t="shared" si="6"/>
        <v/>
      </c>
      <c r="Q523" s="46"/>
      <c r="R523" s="14"/>
      <c r="S523" s="14"/>
      <c r="T523" s="14"/>
      <c r="U523" s="14"/>
      <c r="V523" s="14"/>
      <c r="W523" s="14"/>
      <c r="X523" s="14"/>
      <c r="Y523" s="14"/>
      <c r="Z523" s="14"/>
    </row>
    <row r="524" ht="12.75" customHeight="1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>
        <f t="shared" ref="K524:L524" si="522">H524/12</f>
        <v>0</v>
      </c>
      <c r="L524" s="46">
        <f t="shared" si="522"/>
        <v>0</v>
      </c>
      <c r="M524" s="46"/>
      <c r="N524" s="46">
        <f t="shared" si="4"/>
        <v>0</v>
      </c>
      <c r="O524" s="46">
        <f t="shared" si="5"/>
        <v>0</v>
      </c>
      <c r="P524" s="46" t="str">
        <f t="shared" si="6"/>
        <v/>
      </c>
      <c r="Q524" s="46"/>
      <c r="R524" s="14"/>
      <c r="S524" s="14"/>
      <c r="T524" s="14"/>
      <c r="U524" s="14"/>
      <c r="V524" s="14"/>
      <c r="W524" s="14"/>
      <c r="X524" s="14"/>
      <c r="Y524" s="14"/>
      <c r="Z524" s="14"/>
    </row>
    <row r="525" ht="12.75" customHeight="1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>
        <f t="shared" ref="K525:L525" si="523">H525/12</f>
        <v>0</v>
      </c>
      <c r="L525" s="46">
        <f t="shared" si="523"/>
        <v>0</v>
      </c>
      <c r="M525" s="46"/>
      <c r="N525" s="46">
        <f t="shared" si="4"/>
        <v>0</v>
      </c>
      <c r="O525" s="46">
        <f t="shared" si="5"/>
        <v>0</v>
      </c>
      <c r="P525" s="46" t="str">
        <f t="shared" si="6"/>
        <v/>
      </c>
      <c r="Q525" s="46"/>
      <c r="R525" s="14"/>
      <c r="S525" s="14"/>
      <c r="T525" s="14"/>
      <c r="U525" s="14"/>
      <c r="V525" s="14"/>
      <c r="W525" s="14"/>
      <c r="X525" s="14"/>
      <c r="Y525" s="14"/>
      <c r="Z525" s="14"/>
    </row>
    <row r="526" ht="12.75" customHeight="1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>
        <f t="shared" ref="K526:L526" si="524">H526/12</f>
        <v>0</v>
      </c>
      <c r="L526" s="46">
        <f t="shared" si="524"/>
        <v>0</v>
      </c>
      <c r="M526" s="46"/>
      <c r="N526" s="46">
        <f t="shared" si="4"/>
        <v>0</v>
      </c>
      <c r="O526" s="46">
        <f t="shared" si="5"/>
        <v>0</v>
      </c>
      <c r="P526" s="46" t="str">
        <f t="shared" si="6"/>
        <v/>
      </c>
      <c r="Q526" s="46"/>
      <c r="R526" s="14"/>
      <c r="S526" s="14"/>
      <c r="T526" s="14"/>
      <c r="U526" s="14"/>
      <c r="V526" s="14"/>
      <c r="W526" s="14"/>
      <c r="X526" s="14"/>
      <c r="Y526" s="14"/>
      <c r="Z526" s="14"/>
    </row>
    <row r="527" ht="12.75" customHeight="1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>
        <f t="shared" ref="K527:L527" si="525">H527/12</f>
        <v>0</v>
      </c>
      <c r="L527" s="46">
        <f t="shared" si="525"/>
        <v>0</v>
      </c>
      <c r="M527" s="46"/>
      <c r="N527" s="46">
        <f t="shared" si="4"/>
        <v>0</v>
      </c>
      <c r="O527" s="46">
        <f t="shared" si="5"/>
        <v>0</v>
      </c>
      <c r="P527" s="46" t="str">
        <f t="shared" si="6"/>
        <v/>
      </c>
      <c r="Q527" s="46"/>
      <c r="R527" s="14"/>
      <c r="S527" s="14"/>
      <c r="T527" s="14"/>
      <c r="U527" s="14"/>
      <c r="V527" s="14"/>
      <c r="W527" s="14"/>
      <c r="X527" s="14"/>
      <c r="Y527" s="14"/>
      <c r="Z527" s="14"/>
    </row>
    <row r="528" ht="12.75" customHeight="1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>
        <f t="shared" ref="K528:L528" si="526">H528/12</f>
        <v>0</v>
      </c>
      <c r="L528" s="46">
        <f t="shared" si="526"/>
        <v>0</v>
      </c>
      <c r="M528" s="46"/>
      <c r="N528" s="46">
        <f t="shared" si="4"/>
        <v>0</v>
      </c>
      <c r="O528" s="46">
        <f t="shared" si="5"/>
        <v>0</v>
      </c>
      <c r="P528" s="46" t="str">
        <f t="shared" si="6"/>
        <v/>
      </c>
      <c r="Q528" s="46"/>
      <c r="R528" s="14"/>
      <c r="S528" s="14"/>
      <c r="T528" s="14"/>
      <c r="U528" s="14"/>
      <c r="V528" s="14"/>
      <c r="W528" s="14"/>
      <c r="X528" s="14"/>
      <c r="Y528" s="14"/>
      <c r="Z528" s="14"/>
    </row>
    <row r="529" ht="12.75" customHeight="1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>
        <f t="shared" ref="K529:L529" si="527">H529/12</f>
        <v>0</v>
      </c>
      <c r="L529" s="46">
        <f t="shared" si="527"/>
        <v>0</v>
      </c>
      <c r="M529" s="46"/>
      <c r="N529" s="46">
        <f t="shared" si="4"/>
        <v>0</v>
      </c>
      <c r="O529" s="46">
        <f t="shared" si="5"/>
        <v>0</v>
      </c>
      <c r="P529" s="46" t="str">
        <f t="shared" si="6"/>
        <v/>
      </c>
      <c r="Q529" s="46"/>
      <c r="R529" s="14"/>
      <c r="S529" s="14"/>
      <c r="T529" s="14"/>
      <c r="U529" s="14"/>
      <c r="V529" s="14"/>
      <c r="W529" s="14"/>
      <c r="X529" s="14"/>
      <c r="Y529" s="14"/>
      <c r="Z529" s="14"/>
    </row>
    <row r="530" ht="12.75" customHeight="1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>
        <f t="shared" ref="K530:L530" si="528">H530/12</f>
        <v>0</v>
      </c>
      <c r="L530" s="46">
        <f t="shared" si="528"/>
        <v>0</v>
      </c>
      <c r="M530" s="46"/>
      <c r="N530" s="46">
        <f t="shared" si="4"/>
        <v>0</v>
      </c>
      <c r="O530" s="46">
        <f t="shared" si="5"/>
        <v>0</v>
      </c>
      <c r="P530" s="46" t="str">
        <f t="shared" si="6"/>
        <v/>
      </c>
      <c r="Q530" s="46"/>
      <c r="R530" s="14"/>
      <c r="S530" s="14"/>
      <c r="T530" s="14"/>
      <c r="U530" s="14"/>
      <c r="V530" s="14"/>
      <c r="W530" s="14"/>
      <c r="X530" s="14"/>
      <c r="Y530" s="14"/>
      <c r="Z530" s="14"/>
    </row>
    <row r="531" ht="12.75" customHeight="1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>
        <f t="shared" ref="K531:L531" si="529">H531/12</f>
        <v>0</v>
      </c>
      <c r="L531" s="46">
        <f t="shared" si="529"/>
        <v>0</v>
      </c>
      <c r="M531" s="46"/>
      <c r="N531" s="46">
        <f t="shared" si="4"/>
        <v>0</v>
      </c>
      <c r="O531" s="46">
        <f t="shared" si="5"/>
        <v>0</v>
      </c>
      <c r="P531" s="46" t="str">
        <f t="shared" si="6"/>
        <v/>
      </c>
      <c r="Q531" s="46"/>
      <c r="R531" s="14"/>
      <c r="S531" s="14"/>
      <c r="T531" s="14"/>
      <c r="U531" s="14"/>
      <c r="V531" s="14"/>
      <c r="W531" s="14"/>
      <c r="X531" s="14"/>
      <c r="Y531" s="14"/>
      <c r="Z531" s="14"/>
    </row>
    <row r="532" ht="12.75" customHeight="1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>
        <f t="shared" ref="K532:L532" si="530">H532/12</f>
        <v>0</v>
      </c>
      <c r="L532" s="46">
        <f t="shared" si="530"/>
        <v>0</v>
      </c>
      <c r="M532" s="46"/>
      <c r="N532" s="46">
        <f t="shared" si="4"/>
        <v>0</v>
      </c>
      <c r="O532" s="46">
        <f t="shared" si="5"/>
        <v>0</v>
      </c>
      <c r="P532" s="46" t="str">
        <f t="shared" si="6"/>
        <v/>
      </c>
      <c r="Q532" s="46"/>
      <c r="R532" s="14"/>
      <c r="S532" s="14"/>
      <c r="T532" s="14"/>
      <c r="U532" s="14"/>
      <c r="V532" s="14"/>
      <c r="W532" s="14"/>
      <c r="X532" s="14"/>
      <c r="Y532" s="14"/>
      <c r="Z532" s="14"/>
    </row>
    <row r="533" ht="12.75" customHeight="1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>
        <f t="shared" ref="K533:L533" si="531">H533/12</f>
        <v>0</v>
      </c>
      <c r="L533" s="46">
        <f t="shared" si="531"/>
        <v>0</v>
      </c>
      <c r="M533" s="46"/>
      <c r="N533" s="46">
        <f t="shared" si="4"/>
        <v>0</v>
      </c>
      <c r="O533" s="46">
        <f t="shared" si="5"/>
        <v>0</v>
      </c>
      <c r="P533" s="46" t="str">
        <f t="shared" si="6"/>
        <v/>
      </c>
      <c r="Q533" s="46"/>
      <c r="R533" s="14"/>
      <c r="S533" s="14"/>
      <c r="T533" s="14"/>
      <c r="U533" s="14"/>
      <c r="V533" s="14"/>
      <c r="W533" s="14"/>
      <c r="X533" s="14"/>
      <c r="Y533" s="14"/>
      <c r="Z533" s="14"/>
    </row>
    <row r="534" ht="12.75" customHeight="1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>
        <f t="shared" ref="K534:L534" si="532">H534/12</f>
        <v>0</v>
      </c>
      <c r="L534" s="46">
        <f t="shared" si="532"/>
        <v>0</v>
      </c>
      <c r="M534" s="46"/>
      <c r="N534" s="46">
        <f t="shared" si="4"/>
        <v>0</v>
      </c>
      <c r="O534" s="46">
        <f t="shared" si="5"/>
        <v>0</v>
      </c>
      <c r="P534" s="46" t="str">
        <f t="shared" si="6"/>
        <v/>
      </c>
      <c r="Q534" s="46"/>
      <c r="R534" s="14"/>
      <c r="S534" s="14"/>
      <c r="T534" s="14"/>
      <c r="U534" s="14"/>
      <c r="V534" s="14"/>
      <c r="W534" s="14"/>
      <c r="X534" s="14"/>
      <c r="Y534" s="14"/>
      <c r="Z534" s="14"/>
    </row>
    <row r="535" ht="12.75" customHeight="1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>
        <f t="shared" ref="K535:L535" si="533">H535/12</f>
        <v>0</v>
      </c>
      <c r="L535" s="46">
        <f t="shared" si="533"/>
        <v>0</v>
      </c>
      <c r="M535" s="46"/>
      <c r="N535" s="46">
        <f t="shared" si="4"/>
        <v>0</v>
      </c>
      <c r="O535" s="46">
        <f t="shared" si="5"/>
        <v>0</v>
      </c>
      <c r="P535" s="46" t="str">
        <f t="shared" si="6"/>
        <v/>
      </c>
      <c r="Q535" s="46"/>
      <c r="R535" s="14"/>
      <c r="S535" s="14"/>
      <c r="T535" s="14"/>
      <c r="U535" s="14"/>
      <c r="V535" s="14"/>
      <c r="W535" s="14"/>
      <c r="X535" s="14"/>
      <c r="Y535" s="14"/>
      <c r="Z535" s="14"/>
    </row>
    <row r="536" ht="12.75" customHeight="1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>
        <f t="shared" ref="K536:L536" si="534">H536/12</f>
        <v>0</v>
      </c>
      <c r="L536" s="46">
        <f t="shared" si="534"/>
        <v>0</v>
      </c>
      <c r="M536" s="46"/>
      <c r="N536" s="46">
        <f t="shared" si="4"/>
        <v>0</v>
      </c>
      <c r="O536" s="46">
        <f t="shared" si="5"/>
        <v>0</v>
      </c>
      <c r="P536" s="46" t="str">
        <f t="shared" si="6"/>
        <v/>
      </c>
      <c r="Q536" s="46"/>
      <c r="R536" s="14"/>
      <c r="S536" s="14"/>
      <c r="T536" s="14"/>
      <c r="U536" s="14"/>
      <c r="V536" s="14"/>
      <c r="W536" s="14"/>
      <c r="X536" s="14"/>
      <c r="Y536" s="14"/>
      <c r="Z536" s="14"/>
    </row>
    <row r="537" ht="12.75" customHeight="1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>
        <f t="shared" ref="K537:L537" si="535">H537/12</f>
        <v>0</v>
      </c>
      <c r="L537" s="46">
        <f t="shared" si="535"/>
        <v>0</v>
      </c>
      <c r="M537" s="46"/>
      <c r="N537" s="46">
        <f t="shared" si="4"/>
        <v>0</v>
      </c>
      <c r="O537" s="46">
        <f t="shared" si="5"/>
        <v>0</v>
      </c>
      <c r="P537" s="46" t="str">
        <f t="shared" si="6"/>
        <v/>
      </c>
      <c r="Q537" s="46"/>
      <c r="R537" s="14"/>
      <c r="S537" s="14"/>
      <c r="T537" s="14"/>
      <c r="U537" s="14"/>
      <c r="V537" s="14"/>
      <c r="W537" s="14"/>
      <c r="X537" s="14"/>
      <c r="Y537" s="14"/>
      <c r="Z537" s="14"/>
    </row>
    <row r="538" ht="12.75" customHeight="1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>
        <f t="shared" ref="K538:L538" si="536">H538/12</f>
        <v>0</v>
      </c>
      <c r="L538" s="46">
        <f t="shared" si="536"/>
        <v>0</v>
      </c>
      <c r="M538" s="46"/>
      <c r="N538" s="46">
        <f t="shared" si="4"/>
        <v>0</v>
      </c>
      <c r="O538" s="46">
        <f t="shared" si="5"/>
        <v>0</v>
      </c>
      <c r="P538" s="46" t="str">
        <f t="shared" si="6"/>
        <v/>
      </c>
      <c r="Q538" s="46"/>
      <c r="R538" s="14"/>
      <c r="S538" s="14"/>
      <c r="T538" s="14"/>
      <c r="U538" s="14"/>
      <c r="V538" s="14"/>
      <c r="W538" s="14"/>
      <c r="X538" s="14"/>
      <c r="Y538" s="14"/>
      <c r="Z538" s="14"/>
    </row>
    <row r="539" ht="12.75" customHeight="1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>
        <f t="shared" ref="K539:L539" si="537">H539/12</f>
        <v>0</v>
      </c>
      <c r="L539" s="46">
        <f t="shared" si="537"/>
        <v>0</v>
      </c>
      <c r="M539" s="46"/>
      <c r="N539" s="46">
        <f t="shared" si="4"/>
        <v>0</v>
      </c>
      <c r="O539" s="46">
        <f t="shared" si="5"/>
        <v>0</v>
      </c>
      <c r="P539" s="46" t="str">
        <f t="shared" si="6"/>
        <v/>
      </c>
      <c r="Q539" s="46"/>
      <c r="R539" s="14"/>
      <c r="S539" s="14"/>
      <c r="T539" s="14"/>
      <c r="U539" s="14"/>
      <c r="V539" s="14"/>
      <c r="W539" s="14"/>
      <c r="X539" s="14"/>
      <c r="Y539" s="14"/>
      <c r="Z539" s="14"/>
    </row>
    <row r="540" ht="12.75" customHeight="1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>
        <f t="shared" ref="K540:L540" si="538">H540/12</f>
        <v>0</v>
      </c>
      <c r="L540" s="46">
        <f t="shared" si="538"/>
        <v>0</v>
      </c>
      <c r="M540" s="46"/>
      <c r="N540" s="46">
        <f t="shared" si="4"/>
        <v>0</v>
      </c>
      <c r="O540" s="46">
        <f t="shared" si="5"/>
        <v>0</v>
      </c>
      <c r="P540" s="46" t="str">
        <f t="shared" si="6"/>
        <v/>
      </c>
      <c r="Q540" s="46"/>
      <c r="R540" s="14"/>
      <c r="S540" s="14"/>
      <c r="T540" s="14"/>
      <c r="U540" s="14"/>
      <c r="V540" s="14"/>
      <c r="W540" s="14"/>
      <c r="X540" s="14"/>
      <c r="Y540" s="14"/>
      <c r="Z540" s="14"/>
    </row>
    <row r="541" ht="12.75" customHeight="1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>
        <f t="shared" ref="K541:L541" si="539">H541/12</f>
        <v>0</v>
      </c>
      <c r="L541" s="46">
        <f t="shared" si="539"/>
        <v>0</v>
      </c>
      <c r="M541" s="46"/>
      <c r="N541" s="46">
        <f t="shared" si="4"/>
        <v>0</v>
      </c>
      <c r="O541" s="46">
        <f t="shared" si="5"/>
        <v>0</v>
      </c>
      <c r="P541" s="46" t="str">
        <f t="shared" si="6"/>
        <v/>
      </c>
      <c r="Q541" s="46"/>
      <c r="R541" s="14"/>
      <c r="S541" s="14"/>
      <c r="T541" s="14"/>
      <c r="U541" s="14"/>
      <c r="V541" s="14"/>
      <c r="W541" s="14"/>
      <c r="X541" s="14"/>
      <c r="Y541" s="14"/>
      <c r="Z541" s="14"/>
    </row>
    <row r="542" ht="12.75" customHeight="1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>
        <f t="shared" ref="K542:L542" si="540">H542/12</f>
        <v>0</v>
      </c>
      <c r="L542" s="46">
        <f t="shared" si="540"/>
        <v>0</v>
      </c>
      <c r="M542" s="46"/>
      <c r="N542" s="46">
        <f t="shared" si="4"/>
        <v>0</v>
      </c>
      <c r="O542" s="46">
        <f t="shared" si="5"/>
        <v>0</v>
      </c>
      <c r="P542" s="46" t="str">
        <f t="shared" si="6"/>
        <v/>
      </c>
      <c r="Q542" s="46"/>
      <c r="R542" s="14"/>
      <c r="S542" s="14"/>
      <c r="T542" s="14"/>
      <c r="U542" s="14"/>
      <c r="V542" s="14"/>
      <c r="W542" s="14"/>
      <c r="X542" s="14"/>
      <c r="Y542" s="14"/>
      <c r="Z542" s="14"/>
    </row>
    <row r="543" ht="12.75" customHeight="1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>
        <f t="shared" ref="K543:L543" si="541">H543/12</f>
        <v>0</v>
      </c>
      <c r="L543" s="46">
        <f t="shared" si="541"/>
        <v>0</v>
      </c>
      <c r="M543" s="46"/>
      <c r="N543" s="46">
        <f t="shared" si="4"/>
        <v>0</v>
      </c>
      <c r="O543" s="46">
        <f t="shared" si="5"/>
        <v>0</v>
      </c>
      <c r="P543" s="46" t="str">
        <f t="shared" si="6"/>
        <v/>
      </c>
      <c r="Q543" s="46"/>
      <c r="R543" s="14"/>
      <c r="S543" s="14"/>
      <c r="T543" s="14"/>
      <c r="U543" s="14"/>
      <c r="V543" s="14"/>
      <c r="W543" s="14"/>
      <c r="X543" s="14"/>
      <c r="Y543" s="14"/>
      <c r="Z543" s="14"/>
    </row>
    <row r="544" ht="12.75" customHeight="1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>
        <f t="shared" ref="K544:L544" si="542">H544/12</f>
        <v>0</v>
      </c>
      <c r="L544" s="46">
        <f t="shared" si="542"/>
        <v>0</v>
      </c>
      <c r="M544" s="46"/>
      <c r="N544" s="46">
        <f t="shared" si="4"/>
        <v>0</v>
      </c>
      <c r="O544" s="46">
        <f t="shared" si="5"/>
        <v>0</v>
      </c>
      <c r="P544" s="46" t="str">
        <f t="shared" si="6"/>
        <v/>
      </c>
      <c r="Q544" s="46"/>
      <c r="R544" s="14"/>
      <c r="S544" s="14"/>
      <c r="T544" s="14"/>
      <c r="U544" s="14"/>
      <c r="V544" s="14"/>
      <c r="W544" s="14"/>
      <c r="X544" s="14"/>
      <c r="Y544" s="14"/>
      <c r="Z544" s="14"/>
    </row>
    <row r="545" ht="12.75" customHeight="1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>
        <f t="shared" ref="K545:L545" si="543">H545/12</f>
        <v>0</v>
      </c>
      <c r="L545" s="46">
        <f t="shared" si="543"/>
        <v>0</v>
      </c>
      <c r="M545" s="46"/>
      <c r="N545" s="46">
        <f t="shared" si="4"/>
        <v>0</v>
      </c>
      <c r="O545" s="46">
        <f t="shared" si="5"/>
        <v>0</v>
      </c>
      <c r="P545" s="46" t="str">
        <f t="shared" si="6"/>
        <v/>
      </c>
      <c r="Q545" s="46"/>
      <c r="R545" s="14"/>
      <c r="S545" s="14"/>
      <c r="T545" s="14"/>
      <c r="U545" s="14"/>
      <c r="V545" s="14"/>
      <c r="W545" s="14"/>
      <c r="X545" s="14"/>
      <c r="Y545" s="14"/>
      <c r="Z545" s="14"/>
    </row>
    <row r="546" ht="12.75" customHeight="1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>
        <f t="shared" ref="K546:L546" si="544">H546/12</f>
        <v>0</v>
      </c>
      <c r="L546" s="46">
        <f t="shared" si="544"/>
        <v>0</v>
      </c>
      <c r="M546" s="46"/>
      <c r="N546" s="46">
        <f t="shared" si="4"/>
        <v>0</v>
      </c>
      <c r="O546" s="46">
        <f t="shared" si="5"/>
        <v>0</v>
      </c>
      <c r="P546" s="46" t="str">
        <f t="shared" si="6"/>
        <v/>
      </c>
      <c r="Q546" s="46"/>
      <c r="R546" s="14"/>
      <c r="S546" s="14"/>
      <c r="T546" s="14"/>
      <c r="U546" s="14"/>
      <c r="V546" s="14"/>
      <c r="W546" s="14"/>
      <c r="X546" s="14"/>
      <c r="Y546" s="14"/>
      <c r="Z546" s="14"/>
    </row>
    <row r="547" ht="12.75" customHeight="1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>
        <f t="shared" ref="K547:L547" si="545">H547/12</f>
        <v>0</v>
      </c>
      <c r="L547" s="46">
        <f t="shared" si="545"/>
        <v>0</v>
      </c>
      <c r="M547" s="46"/>
      <c r="N547" s="46">
        <f t="shared" si="4"/>
        <v>0</v>
      </c>
      <c r="O547" s="46">
        <f t="shared" si="5"/>
        <v>0</v>
      </c>
      <c r="P547" s="46" t="str">
        <f t="shared" si="6"/>
        <v/>
      </c>
      <c r="Q547" s="46"/>
      <c r="R547" s="14"/>
      <c r="S547" s="14"/>
      <c r="T547" s="14"/>
      <c r="U547" s="14"/>
      <c r="V547" s="14"/>
      <c r="W547" s="14"/>
      <c r="X547" s="14"/>
      <c r="Y547" s="14"/>
      <c r="Z547" s="14"/>
    </row>
    <row r="548" ht="12.75" customHeight="1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>
        <f t="shared" ref="K548:L548" si="546">H548/12</f>
        <v>0</v>
      </c>
      <c r="L548" s="46">
        <f t="shared" si="546"/>
        <v>0</v>
      </c>
      <c r="M548" s="46"/>
      <c r="N548" s="46">
        <f t="shared" si="4"/>
        <v>0</v>
      </c>
      <c r="O548" s="46">
        <f t="shared" si="5"/>
        <v>0</v>
      </c>
      <c r="P548" s="46" t="str">
        <f t="shared" si="6"/>
        <v/>
      </c>
      <c r="Q548" s="46"/>
      <c r="R548" s="14"/>
      <c r="S548" s="14"/>
      <c r="T548" s="14"/>
      <c r="U548" s="14"/>
      <c r="V548" s="14"/>
      <c r="W548" s="14"/>
      <c r="X548" s="14"/>
      <c r="Y548" s="14"/>
      <c r="Z548" s="14"/>
    </row>
    <row r="549" ht="12.75" customHeight="1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>
        <f t="shared" ref="K549:L549" si="547">H549/12</f>
        <v>0</v>
      </c>
      <c r="L549" s="46">
        <f t="shared" si="547"/>
        <v>0</v>
      </c>
      <c r="M549" s="46"/>
      <c r="N549" s="46">
        <f t="shared" si="4"/>
        <v>0</v>
      </c>
      <c r="O549" s="46">
        <f t="shared" si="5"/>
        <v>0</v>
      </c>
      <c r="P549" s="46" t="str">
        <f t="shared" si="6"/>
        <v/>
      </c>
      <c r="Q549" s="46"/>
      <c r="R549" s="14"/>
      <c r="S549" s="14"/>
      <c r="T549" s="14"/>
      <c r="U549" s="14"/>
      <c r="V549" s="14"/>
      <c r="W549" s="14"/>
      <c r="X549" s="14"/>
      <c r="Y549" s="14"/>
      <c r="Z549" s="14"/>
    </row>
    <row r="550" ht="12.75" customHeight="1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>
        <f t="shared" ref="K550:L550" si="548">H550/12</f>
        <v>0</v>
      </c>
      <c r="L550" s="46">
        <f t="shared" si="548"/>
        <v>0</v>
      </c>
      <c r="M550" s="46"/>
      <c r="N550" s="46">
        <f t="shared" si="4"/>
        <v>0</v>
      </c>
      <c r="O550" s="46">
        <f t="shared" si="5"/>
        <v>0</v>
      </c>
      <c r="P550" s="46" t="str">
        <f t="shared" si="6"/>
        <v/>
      </c>
      <c r="Q550" s="46"/>
      <c r="R550" s="14"/>
      <c r="S550" s="14"/>
      <c r="T550" s="14"/>
      <c r="U550" s="14"/>
      <c r="V550" s="14"/>
      <c r="W550" s="14"/>
      <c r="X550" s="14"/>
      <c r="Y550" s="14"/>
      <c r="Z550" s="14"/>
    </row>
    <row r="551" ht="12.75" customHeight="1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>
        <f t="shared" ref="K551:L551" si="549">H551/12</f>
        <v>0</v>
      </c>
      <c r="L551" s="46">
        <f t="shared" si="549"/>
        <v>0</v>
      </c>
      <c r="M551" s="46"/>
      <c r="N551" s="46">
        <f t="shared" si="4"/>
        <v>0</v>
      </c>
      <c r="O551" s="46">
        <f t="shared" si="5"/>
        <v>0</v>
      </c>
      <c r="P551" s="46" t="str">
        <f t="shared" si="6"/>
        <v/>
      </c>
      <c r="Q551" s="46"/>
      <c r="R551" s="14"/>
      <c r="S551" s="14"/>
      <c r="T551" s="14"/>
      <c r="U551" s="14"/>
      <c r="V551" s="14"/>
      <c r="W551" s="14"/>
      <c r="X551" s="14"/>
      <c r="Y551" s="14"/>
      <c r="Z551" s="14"/>
    </row>
    <row r="552" ht="12.75" customHeight="1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>
        <f t="shared" ref="K552:L552" si="550">H552/12</f>
        <v>0</v>
      </c>
      <c r="L552" s="46">
        <f t="shared" si="550"/>
        <v>0</v>
      </c>
      <c r="M552" s="46"/>
      <c r="N552" s="46">
        <f t="shared" si="4"/>
        <v>0</v>
      </c>
      <c r="O552" s="46">
        <f t="shared" si="5"/>
        <v>0</v>
      </c>
      <c r="P552" s="46" t="str">
        <f t="shared" si="6"/>
        <v/>
      </c>
      <c r="Q552" s="46"/>
      <c r="R552" s="14"/>
      <c r="S552" s="14"/>
      <c r="T552" s="14"/>
      <c r="U552" s="14"/>
      <c r="V552" s="14"/>
      <c r="W552" s="14"/>
      <c r="X552" s="14"/>
      <c r="Y552" s="14"/>
      <c r="Z552" s="14"/>
    </row>
    <row r="553" ht="12.75" customHeight="1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>
        <f t="shared" ref="K553:L553" si="551">H553/12</f>
        <v>0</v>
      </c>
      <c r="L553" s="46">
        <f t="shared" si="551"/>
        <v>0</v>
      </c>
      <c r="M553" s="46"/>
      <c r="N553" s="46">
        <f t="shared" si="4"/>
        <v>0</v>
      </c>
      <c r="O553" s="46">
        <f t="shared" si="5"/>
        <v>0</v>
      </c>
      <c r="P553" s="46" t="str">
        <f t="shared" si="6"/>
        <v/>
      </c>
      <c r="Q553" s="46"/>
      <c r="R553" s="14"/>
      <c r="S553" s="14"/>
      <c r="T553" s="14"/>
      <c r="U553" s="14"/>
      <c r="V553" s="14"/>
      <c r="W553" s="14"/>
      <c r="X553" s="14"/>
      <c r="Y553" s="14"/>
      <c r="Z553" s="14"/>
    </row>
    <row r="554" ht="12.75" customHeight="1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>
        <f t="shared" ref="K554:L554" si="552">H554/12</f>
        <v>0</v>
      </c>
      <c r="L554" s="46">
        <f t="shared" si="552"/>
        <v>0</v>
      </c>
      <c r="M554" s="46"/>
      <c r="N554" s="46">
        <f t="shared" si="4"/>
        <v>0</v>
      </c>
      <c r="O554" s="46">
        <f t="shared" si="5"/>
        <v>0</v>
      </c>
      <c r="P554" s="46" t="str">
        <f t="shared" si="6"/>
        <v/>
      </c>
      <c r="Q554" s="46"/>
      <c r="R554" s="14"/>
      <c r="S554" s="14"/>
      <c r="T554" s="14"/>
      <c r="U554" s="14"/>
      <c r="V554" s="14"/>
      <c r="W554" s="14"/>
      <c r="X554" s="14"/>
      <c r="Y554" s="14"/>
      <c r="Z554" s="14"/>
    </row>
    <row r="555" ht="12.75" customHeight="1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>
        <f t="shared" ref="K555:L555" si="553">H555/12</f>
        <v>0</v>
      </c>
      <c r="L555" s="46">
        <f t="shared" si="553"/>
        <v>0</v>
      </c>
      <c r="M555" s="46"/>
      <c r="N555" s="46">
        <f t="shared" si="4"/>
        <v>0</v>
      </c>
      <c r="O555" s="46">
        <f t="shared" si="5"/>
        <v>0</v>
      </c>
      <c r="P555" s="46" t="str">
        <f t="shared" si="6"/>
        <v/>
      </c>
      <c r="Q555" s="46"/>
      <c r="R555" s="14"/>
      <c r="S555" s="14"/>
      <c r="T555" s="14"/>
      <c r="U555" s="14"/>
      <c r="V555" s="14"/>
      <c r="W555" s="14"/>
      <c r="X555" s="14"/>
      <c r="Y555" s="14"/>
      <c r="Z555" s="14"/>
    </row>
    <row r="556" ht="12.75" customHeight="1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>
        <f t="shared" ref="K556:L556" si="554">H556/12</f>
        <v>0</v>
      </c>
      <c r="L556" s="46">
        <f t="shared" si="554"/>
        <v>0</v>
      </c>
      <c r="M556" s="46"/>
      <c r="N556" s="46">
        <f t="shared" si="4"/>
        <v>0</v>
      </c>
      <c r="O556" s="46">
        <f t="shared" si="5"/>
        <v>0</v>
      </c>
      <c r="P556" s="46" t="str">
        <f t="shared" si="6"/>
        <v/>
      </c>
      <c r="Q556" s="46"/>
      <c r="R556" s="14"/>
      <c r="S556" s="14"/>
      <c r="T556" s="14"/>
      <c r="U556" s="14"/>
      <c r="V556" s="14"/>
      <c r="W556" s="14"/>
      <c r="X556" s="14"/>
      <c r="Y556" s="14"/>
      <c r="Z556" s="14"/>
    </row>
    <row r="557" ht="12.75" customHeight="1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>
        <f t="shared" ref="K557:L557" si="555">H557/12</f>
        <v>0</v>
      </c>
      <c r="L557" s="46">
        <f t="shared" si="555"/>
        <v>0</v>
      </c>
      <c r="M557" s="46"/>
      <c r="N557" s="46">
        <f t="shared" si="4"/>
        <v>0</v>
      </c>
      <c r="O557" s="46">
        <f t="shared" si="5"/>
        <v>0</v>
      </c>
      <c r="P557" s="46" t="str">
        <f t="shared" si="6"/>
        <v/>
      </c>
      <c r="Q557" s="46"/>
      <c r="R557" s="14"/>
      <c r="S557" s="14"/>
      <c r="T557" s="14"/>
      <c r="U557" s="14"/>
      <c r="V557" s="14"/>
      <c r="W557" s="14"/>
      <c r="X557" s="14"/>
      <c r="Y557" s="14"/>
      <c r="Z557" s="14"/>
    </row>
    <row r="558" ht="12.75" customHeight="1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>
        <f t="shared" ref="K558:L558" si="556">H558/12</f>
        <v>0</v>
      </c>
      <c r="L558" s="46">
        <f t="shared" si="556"/>
        <v>0</v>
      </c>
      <c r="M558" s="46"/>
      <c r="N558" s="46">
        <f t="shared" si="4"/>
        <v>0</v>
      </c>
      <c r="O558" s="46">
        <f t="shared" si="5"/>
        <v>0</v>
      </c>
      <c r="P558" s="46" t="str">
        <f t="shared" si="6"/>
        <v/>
      </c>
      <c r="Q558" s="46"/>
      <c r="R558" s="14"/>
      <c r="S558" s="14"/>
      <c r="T558" s="14"/>
      <c r="U558" s="14"/>
      <c r="V558" s="14"/>
      <c r="W558" s="14"/>
      <c r="X558" s="14"/>
      <c r="Y558" s="14"/>
      <c r="Z558" s="14"/>
    </row>
    <row r="559" ht="12.75" customHeight="1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>
        <f t="shared" ref="K559:L559" si="557">H559/12</f>
        <v>0</v>
      </c>
      <c r="L559" s="46">
        <f t="shared" si="557"/>
        <v>0</v>
      </c>
      <c r="M559" s="46"/>
      <c r="N559" s="46">
        <f t="shared" si="4"/>
        <v>0</v>
      </c>
      <c r="O559" s="46">
        <f t="shared" si="5"/>
        <v>0</v>
      </c>
      <c r="P559" s="46" t="str">
        <f t="shared" si="6"/>
        <v/>
      </c>
      <c r="Q559" s="46"/>
      <c r="R559" s="14"/>
      <c r="S559" s="14"/>
      <c r="T559" s="14"/>
      <c r="U559" s="14"/>
      <c r="V559" s="14"/>
      <c r="W559" s="14"/>
      <c r="X559" s="14"/>
      <c r="Y559" s="14"/>
      <c r="Z559" s="14"/>
    </row>
    <row r="560" ht="12.75" customHeight="1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>
        <f t="shared" ref="K560:L560" si="558">H560/12</f>
        <v>0</v>
      </c>
      <c r="L560" s="46">
        <f t="shared" si="558"/>
        <v>0</v>
      </c>
      <c r="M560" s="46"/>
      <c r="N560" s="46">
        <f t="shared" si="4"/>
        <v>0</v>
      </c>
      <c r="O560" s="46">
        <f t="shared" si="5"/>
        <v>0</v>
      </c>
      <c r="P560" s="46" t="str">
        <f t="shared" si="6"/>
        <v/>
      </c>
      <c r="Q560" s="46"/>
      <c r="R560" s="14"/>
      <c r="S560" s="14"/>
      <c r="T560" s="14"/>
      <c r="U560" s="14"/>
      <c r="V560" s="14"/>
      <c r="W560" s="14"/>
      <c r="X560" s="14"/>
      <c r="Y560" s="14"/>
      <c r="Z560" s="14"/>
    </row>
    <row r="561" ht="12.75" customHeight="1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>
        <f t="shared" ref="K561:L561" si="559">H561/12</f>
        <v>0</v>
      </c>
      <c r="L561" s="46">
        <f t="shared" si="559"/>
        <v>0</v>
      </c>
      <c r="M561" s="46"/>
      <c r="N561" s="46">
        <f t="shared" si="4"/>
        <v>0</v>
      </c>
      <c r="O561" s="46">
        <f t="shared" si="5"/>
        <v>0</v>
      </c>
      <c r="P561" s="46" t="str">
        <f t="shared" si="6"/>
        <v/>
      </c>
      <c r="Q561" s="46"/>
      <c r="R561" s="14"/>
      <c r="S561" s="14"/>
      <c r="T561" s="14"/>
      <c r="U561" s="14"/>
      <c r="V561" s="14"/>
      <c r="W561" s="14"/>
      <c r="X561" s="14"/>
      <c r="Y561" s="14"/>
      <c r="Z561" s="14"/>
    </row>
    <row r="562" ht="12.75" customHeight="1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>
        <f t="shared" ref="K562:L562" si="560">H562/12</f>
        <v>0</v>
      </c>
      <c r="L562" s="46">
        <f t="shared" si="560"/>
        <v>0</v>
      </c>
      <c r="M562" s="46"/>
      <c r="N562" s="46">
        <f t="shared" si="4"/>
        <v>0</v>
      </c>
      <c r="O562" s="46">
        <f t="shared" si="5"/>
        <v>0</v>
      </c>
      <c r="P562" s="46" t="str">
        <f t="shared" si="6"/>
        <v/>
      </c>
      <c r="Q562" s="46"/>
      <c r="R562" s="14"/>
      <c r="S562" s="14"/>
      <c r="T562" s="14"/>
      <c r="U562" s="14"/>
      <c r="V562" s="14"/>
      <c r="W562" s="14"/>
      <c r="X562" s="14"/>
      <c r="Y562" s="14"/>
      <c r="Z562" s="14"/>
    </row>
    <row r="563" ht="12.75" customHeight="1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>
        <f t="shared" ref="K563:L563" si="561">H563/12</f>
        <v>0</v>
      </c>
      <c r="L563" s="46">
        <f t="shared" si="561"/>
        <v>0</v>
      </c>
      <c r="M563" s="46"/>
      <c r="N563" s="46">
        <f t="shared" si="4"/>
        <v>0</v>
      </c>
      <c r="O563" s="46">
        <f t="shared" si="5"/>
        <v>0</v>
      </c>
      <c r="P563" s="46" t="str">
        <f t="shared" si="6"/>
        <v/>
      </c>
      <c r="Q563" s="46"/>
      <c r="R563" s="14"/>
      <c r="S563" s="14"/>
      <c r="T563" s="14"/>
      <c r="U563" s="14"/>
      <c r="V563" s="14"/>
      <c r="W563" s="14"/>
      <c r="X563" s="14"/>
      <c r="Y563" s="14"/>
      <c r="Z563" s="14"/>
    </row>
    <row r="564" ht="12.75" customHeight="1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>
        <f t="shared" ref="K564:L564" si="562">H564/12</f>
        <v>0</v>
      </c>
      <c r="L564" s="46">
        <f t="shared" si="562"/>
        <v>0</v>
      </c>
      <c r="M564" s="46"/>
      <c r="N564" s="46">
        <f t="shared" si="4"/>
        <v>0</v>
      </c>
      <c r="O564" s="46">
        <f t="shared" si="5"/>
        <v>0</v>
      </c>
      <c r="P564" s="46" t="str">
        <f t="shared" si="6"/>
        <v/>
      </c>
      <c r="Q564" s="46"/>
      <c r="R564" s="14"/>
      <c r="S564" s="14"/>
      <c r="T564" s="14"/>
      <c r="U564" s="14"/>
      <c r="V564" s="14"/>
      <c r="W564" s="14"/>
      <c r="X564" s="14"/>
      <c r="Y564" s="14"/>
      <c r="Z564" s="14"/>
    </row>
    <row r="565" ht="12.75" customHeight="1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>
        <f t="shared" ref="K565:L565" si="563">H565/12</f>
        <v>0</v>
      </c>
      <c r="L565" s="46">
        <f t="shared" si="563"/>
        <v>0</v>
      </c>
      <c r="M565" s="46"/>
      <c r="N565" s="46">
        <f t="shared" si="4"/>
        <v>0</v>
      </c>
      <c r="O565" s="46">
        <f t="shared" si="5"/>
        <v>0</v>
      </c>
      <c r="P565" s="46" t="str">
        <f t="shared" si="6"/>
        <v/>
      </c>
      <c r="Q565" s="46"/>
      <c r="R565" s="14"/>
      <c r="S565" s="14"/>
      <c r="T565" s="14"/>
      <c r="U565" s="14"/>
      <c r="V565" s="14"/>
      <c r="W565" s="14"/>
      <c r="X565" s="14"/>
      <c r="Y565" s="14"/>
      <c r="Z565" s="14"/>
    </row>
    <row r="566" ht="12.75" customHeight="1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>
        <f t="shared" ref="K566:L566" si="564">H566/12</f>
        <v>0</v>
      </c>
      <c r="L566" s="46">
        <f t="shared" si="564"/>
        <v>0</v>
      </c>
      <c r="M566" s="46"/>
      <c r="N566" s="46">
        <f t="shared" si="4"/>
        <v>0</v>
      </c>
      <c r="O566" s="46">
        <f t="shared" si="5"/>
        <v>0</v>
      </c>
      <c r="P566" s="46" t="str">
        <f t="shared" si="6"/>
        <v/>
      </c>
      <c r="Q566" s="46"/>
      <c r="R566" s="14"/>
      <c r="S566" s="14"/>
      <c r="T566" s="14"/>
      <c r="U566" s="14"/>
      <c r="V566" s="14"/>
      <c r="W566" s="14"/>
      <c r="X566" s="14"/>
      <c r="Y566" s="14"/>
      <c r="Z566" s="14"/>
    </row>
    <row r="567" ht="12.75" customHeight="1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>
        <f t="shared" ref="K567:L567" si="565">H567/12</f>
        <v>0</v>
      </c>
      <c r="L567" s="46">
        <f t="shared" si="565"/>
        <v>0</v>
      </c>
      <c r="M567" s="46"/>
      <c r="N567" s="46">
        <f t="shared" si="4"/>
        <v>0</v>
      </c>
      <c r="O567" s="46">
        <f t="shared" si="5"/>
        <v>0</v>
      </c>
      <c r="P567" s="46" t="str">
        <f t="shared" si="6"/>
        <v/>
      </c>
      <c r="Q567" s="46"/>
      <c r="R567" s="14"/>
      <c r="S567" s="14"/>
      <c r="T567" s="14"/>
      <c r="U567" s="14"/>
      <c r="V567" s="14"/>
      <c r="W567" s="14"/>
      <c r="X567" s="14"/>
      <c r="Y567" s="14"/>
      <c r="Z567" s="14"/>
    </row>
    <row r="568" ht="12.75" customHeight="1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>
        <f t="shared" ref="K568:L568" si="566">H568/12</f>
        <v>0</v>
      </c>
      <c r="L568" s="46">
        <f t="shared" si="566"/>
        <v>0</v>
      </c>
      <c r="M568" s="46"/>
      <c r="N568" s="46">
        <f t="shared" si="4"/>
        <v>0</v>
      </c>
      <c r="O568" s="46">
        <f t="shared" si="5"/>
        <v>0</v>
      </c>
      <c r="P568" s="46" t="str">
        <f t="shared" si="6"/>
        <v/>
      </c>
      <c r="Q568" s="46"/>
      <c r="R568" s="14"/>
      <c r="S568" s="14"/>
      <c r="T568" s="14"/>
      <c r="U568" s="14"/>
      <c r="V568" s="14"/>
      <c r="W568" s="14"/>
      <c r="X568" s="14"/>
      <c r="Y568" s="14"/>
      <c r="Z568" s="14"/>
    </row>
    <row r="569" ht="12.75" customHeight="1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>
        <f t="shared" ref="K569:L569" si="567">H569/12</f>
        <v>0</v>
      </c>
      <c r="L569" s="46">
        <f t="shared" si="567"/>
        <v>0</v>
      </c>
      <c r="M569" s="46"/>
      <c r="N569" s="46">
        <f t="shared" si="4"/>
        <v>0</v>
      </c>
      <c r="O569" s="46">
        <f t="shared" si="5"/>
        <v>0</v>
      </c>
      <c r="P569" s="46" t="str">
        <f t="shared" si="6"/>
        <v/>
      </c>
      <c r="Q569" s="46"/>
      <c r="R569" s="14"/>
      <c r="S569" s="14"/>
      <c r="T569" s="14"/>
      <c r="U569" s="14"/>
      <c r="V569" s="14"/>
      <c r="W569" s="14"/>
      <c r="X569" s="14"/>
      <c r="Y569" s="14"/>
      <c r="Z569" s="14"/>
    </row>
    <row r="570" ht="12.75" customHeight="1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>
        <f t="shared" ref="K570:L570" si="568">H570/12</f>
        <v>0</v>
      </c>
      <c r="L570" s="46">
        <f t="shared" si="568"/>
        <v>0</v>
      </c>
      <c r="M570" s="46"/>
      <c r="N570" s="46">
        <f t="shared" si="4"/>
        <v>0</v>
      </c>
      <c r="O570" s="46">
        <f t="shared" si="5"/>
        <v>0</v>
      </c>
      <c r="P570" s="46" t="str">
        <f t="shared" si="6"/>
        <v/>
      </c>
      <c r="Q570" s="46"/>
      <c r="R570" s="14"/>
      <c r="S570" s="14"/>
      <c r="T570" s="14"/>
      <c r="U570" s="14"/>
      <c r="V570" s="14"/>
      <c r="W570" s="14"/>
      <c r="X570" s="14"/>
      <c r="Y570" s="14"/>
      <c r="Z570" s="14"/>
    </row>
    <row r="571" ht="12.75" customHeight="1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>
        <f t="shared" ref="K571:L571" si="569">H571/12</f>
        <v>0</v>
      </c>
      <c r="L571" s="46">
        <f t="shared" si="569"/>
        <v>0</v>
      </c>
      <c r="M571" s="46"/>
      <c r="N571" s="46">
        <f t="shared" si="4"/>
        <v>0</v>
      </c>
      <c r="O571" s="46">
        <f t="shared" si="5"/>
        <v>0</v>
      </c>
      <c r="P571" s="46" t="str">
        <f t="shared" si="6"/>
        <v/>
      </c>
      <c r="Q571" s="46"/>
      <c r="R571" s="14"/>
      <c r="S571" s="14"/>
      <c r="T571" s="14"/>
      <c r="U571" s="14"/>
      <c r="V571" s="14"/>
      <c r="W571" s="14"/>
      <c r="X571" s="14"/>
      <c r="Y571" s="14"/>
      <c r="Z571" s="14"/>
    </row>
    <row r="572" ht="12.75" customHeight="1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>
        <f t="shared" ref="K572:L572" si="570">H572/12</f>
        <v>0</v>
      </c>
      <c r="L572" s="46">
        <f t="shared" si="570"/>
        <v>0</v>
      </c>
      <c r="M572" s="46"/>
      <c r="N572" s="46">
        <f t="shared" si="4"/>
        <v>0</v>
      </c>
      <c r="O572" s="46">
        <f t="shared" si="5"/>
        <v>0</v>
      </c>
      <c r="P572" s="46" t="str">
        <f t="shared" si="6"/>
        <v/>
      </c>
      <c r="Q572" s="46"/>
      <c r="R572" s="14"/>
      <c r="S572" s="14"/>
      <c r="T572" s="14"/>
      <c r="U572" s="14"/>
      <c r="V572" s="14"/>
      <c r="W572" s="14"/>
      <c r="X572" s="14"/>
      <c r="Y572" s="14"/>
      <c r="Z572" s="14"/>
    </row>
    <row r="573" ht="12.75" customHeight="1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>
        <f t="shared" ref="K573:L573" si="571">H573/12</f>
        <v>0</v>
      </c>
      <c r="L573" s="46">
        <f t="shared" si="571"/>
        <v>0</v>
      </c>
      <c r="M573" s="46"/>
      <c r="N573" s="46">
        <f t="shared" si="4"/>
        <v>0</v>
      </c>
      <c r="O573" s="46">
        <f t="shared" si="5"/>
        <v>0</v>
      </c>
      <c r="P573" s="46" t="str">
        <f t="shared" si="6"/>
        <v/>
      </c>
      <c r="Q573" s="46"/>
      <c r="R573" s="14"/>
      <c r="S573" s="14"/>
      <c r="T573" s="14"/>
      <c r="U573" s="14"/>
      <c r="V573" s="14"/>
      <c r="W573" s="14"/>
      <c r="X573" s="14"/>
      <c r="Y573" s="14"/>
      <c r="Z573" s="14"/>
    </row>
    <row r="574" ht="12.75" customHeight="1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>
        <f t="shared" ref="K574:L574" si="572">H574/12</f>
        <v>0</v>
      </c>
      <c r="L574" s="46">
        <f t="shared" si="572"/>
        <v>0</v>
      </c>
      <c r="M574" s="46"/>
      <c r="N574" s="46">
        <f t="shared" si="4"/>
        <v>0</v>
      </c>
      <c r="O574" s="46">
        <f t="shared" si="5"/>
        <v>0</v>
      </c>
      <c r="P574" s="46" t="str">
        <f t="shared" si="6"/>
        <v/>
      </c>
      <c r="Q574" s="46"/>
      <c r="R574" s="14"/>
      <c r="S574" s="14"/>
      <c r="T574" s="14"/>
      <c r="U574" s="14"/>
      <c r="V574" s="14"/>
      <c r="W574" s="14"/>
      <c r="X574" s="14"/>
      <c r="Y574" s="14"/>
      <c r="Z574" s="14"/>
    </row>
    <row r="575" ht="12.75" customHeight="1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>
        <f t="shared" ref="K575:L575" si="573">H575/12</f>
        <v>0</v>
      </c>
      <c r="L575" s="46">
        <f t="shared" si="573"/>
        <v>0</v>
      </c>
      <c r="M575" s="46"/>
      <c r="N575" s="46">
        <f t="shared" si="4"/>
        <v>0</v>
      </c>
      <c r="O575" s="46">
        <f t="shared" si="5"/>
        <v>0</v>
      </c>
      <c r="P575" s="46" t="str">
        <f t="shared" si="6"/>
        <v/>
      </c>
      <c r="Q575" s="46"/>
      <c r="R575" s="14"/>
      <c r="S575" s="14"/>
      <c r="T575" s="14"/>
      <c r="U575" s="14"/>
      <c r="V575" s="14"/>
      <c r="W575" s="14"/>
      <c r="X575" s="14"/>
      <c r="Y575" s="14"/>
      <c r="Z575" s="14"/>
    </row>
    <row r="576" ht="12.75" customHeight="1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>
        <f t="shared" ref="K576:L576" si="574">H576/12</f>
        <v>0</v>
      </c>
      <c r="L576" s="46">
        <f t="shared" si="574"/>
        <v>0</v>
      </c>
      <c r="M576" s="46"/>
      <c r="N576" s="46">
        <f t="shared" si="4"/>
        <v>0</v>
      </c>
      <c r="O576" s="46">
        <f t="shared" si="5"/>
        <v>0</v>
      </c>
      <c r="P576" s="46" t="str">
        <f t="shared" si="6"/>
        <v/>
      </c>
      <c r="Q576" s="46"/>
      <c r="R576" s="14"/>
      <c r="S576" s="14"/>
      <c r="T576" s="14"/>
      <c r="U576" s="14"/>
      <c r="V576" s="14"/>
      <c r="W576" s="14"/>
      <c r="X576" s="14"/>
      <c r="Y576" s="14"/>
      <c r="Z576" s="14"/>
    </row>
    <row r="577" ht="12.75" customHeight="1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>
        <f t="shared" ref="K577:L577" si="575">H577/12</f>
        <v>0</v>
      </c>
      <c r="L577" s="46">
        <f t="shared" si="575"/>
        <v>0</v>
      </c>
      <c r="M577" s="46"/>
      <c r="N577" s="46">
        <f t="shared" si="4"/>
        <v>0</v>
      </c>
      <c r="O577" s="46">
        <f t="shared" si="5"/>
        <v>0</v>
      </c>
      <c r="P577" s="46" t="str">
        <f t="shared" si="6"/>
        <v/>
      </c>
      <c r="Q577" s="46"/>
      <c r="R577" s="14"/>
      <c r="S577" s="14"/>
      <c r="T577" s="14"/>
      <c r="U577" s="14"/>
      <c r="V577" s="14"/>
      <c r="W577" s="14"/>
      <c r="X577" s="14"/>
      <c r="Y577" s="14"/>
      <c r="Z577" s="14"/>
    </row>
    <row r="578" ht="12.75" customHeight="1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>
        <f t="shared" ref="K578:L578" si="576">H578/12</f>
        <v>0</v>
      </c>
      <c r="L578" s="46">
        <f t="shared" si="576"/>
        <v>0</v>
      </c>
      <c r="M578" s="46"/>
      <c r="N578" s="46">
        <f t="shared" si="4"/>
        <v>0</v>
      </c>
      <c r="O578" s="46">
        <f t="shared" si="5"/>
        <v>0</v>
      </c>
      <c r="P578" s="46" t="str">
        <f t="shared" si="6"/>
        <v/>
      </c>
      <c r="Q578" s="46"/>
      <c r="R578" s="14"/>
      <c r="S578" s="14"/>
      <c r="T578" s="14"/>
      <c r="U578" s="14"/>
      <c r="V578" s="14"/>
      <c r="W578" s="14"/>
      <c r="X578" s="14"/>
      <c r="Y578" s="14"/>
      <c r="Z578" s="14"/>
    </row>
    <row r="579" ht="12.75" customHeight="1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>
        <f t="shared" ref="K579:L579" si="577">H579/12</f>
        <v>0</v>
      </c>
      <c r="L579" s="46">
        <f t="shared" si="577"/>
        <v>0</v>
      </c>
      <c r="M579" s="46"/>
      <c r="N579" s="46">
        <f t="shared" si="4"/>
        <v>0</v>
      </c>
      <c r="O579" s="46">
        <f t="shared" si="5"/>
        <v>0</v>
      </c>
      <c r="P579" s="46" t="str">
        <f t="shared" si="6"/>
        <v/>
      </c>
      <c r="Q579" s="46"/>
      <c r="R579" s="14"/>
      <c r="S579" s="14"/>
      <c r="T579" s="14"/>
      <c r="U579" s="14"/>
      <c r="V579" s="14"/>
      <c r="W579" s="14"/>
      <c r="X579" s="14"/>
      <c r="Y579" s="14"/>
      <c r="Z579" s="14"/>
    </row>
    <row r="580" ht="12.75" customHeight="1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>
        <f t="shared" ref="K580:L580" si="578">H580/12</f>
        <v>0</v>
      </c>
      <c r="L580" s="46">
        <f t="shared" si="578"/>
        <v>0</v>
      </c>
      <c r="M580" s="46"/>
      <c r="N580" s="46">
        <f t="shared" si="4"/>
        <v>0</v>
      </c>
      <c r="O580" s="46">
        <f t="shared" si="5"/>
        <v>0</v>
      </c>
      <c r="P580" s="46" t="str">
        <f t="shared" si="6"/>
        <v/>
      </c>
      <c r="Q580" s="46"/>
      <c r="R580" s="14"/>
      <c r="S580" s="14"/>
      <c r="T580" s="14"/>
      <c r="U580" s="14"/>
      <c r="V580" s="14"/>
      <c r="W580" s="14"/>
      <c r="X580" s="14"/>
      <c r="Y580" s="14"/>
      <c r="Z580" s="14"/>
    </row>
    <row r="581" ht="12.75" customHeight="1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>
        <f t="shared" ref="K581:L581" si="579">H581/12</f>
        <v>0</v>
      </c>
      <c r="L581" s="46">
        <f t="shared" si="579"/>
        <v>0</v>
      </c>
      <c r="M581" s="46"/>
      <c r="N581" s="46">
        <f t="shared" si="4"/>
        <v>0</v>
      </c>
      <c r="O581" s="46">
        <f t="shared" si="5"/>
        <v>0</v>
      </c>
      <c r="P581" s="46" t="str">
        <f t="shared" si="6"/>
        <v/>
      </c>
      <c r="Q581" s="46"/>
      <c r="R581" s="14"/>
      <c r="S581" s="14"/>
      <c r="T581" s="14"/>
      <c r="U581" s="14"/>
      <c r="V581" s="14"/>
      <c r="W581" s="14"/>
      <c r="X581" s="14"/>
      <c r="Y581" s="14"/>
      <c r="Z581" s="14"/>
    </row>
    <row r="582" ht="12.75" customHeight="1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>
        <f t="shared" ref="K582:L582" si="580">H582/12</f>
        <v>0</v>
      </c>
      <c r="L582" s="46">
        <f t="shared" si="580"/>
        <v>0</v>
      </c>
      <c r="M582" s="46"/>
      <c r="N582" s="46">
        <f t="shared" si="4"/>
        <v>0</v>
      </c>
      <c r="O582" s="46">
        <f t="shared" si="5"/>
        <v>0</v>
      </c>
      <c r="P582" s="46" t="str">
        <f t="shared" si="6"/>
        <v/>
      </c>
      <c r="Q582" s="46"/>
      <c r="R582" s="14"/>
      <c r="S582" s="14"/>
      <c r="T582" s="14"/>
      <c r="U582" s="14"/>
      <c r="V582" s="14"/>
      <c r="W582" s="14"/>
      <c r="X582" s="14"/>
      <c r="Y582" s="14"/>
      <c r="Z582" s="14"/>
    </row>
    <row r="583" ht="12.75" customHeight="1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>
        <f t="shared" ref="K583:L583" si="581">H583/12</f>
        <v>0</v>
      </c>
      <c r="L583" s="46">
        <f t="shared" si="581"/>
        <v>0</v>
      </c>
      <c r="M583" s="46"/>
      <c r="N583" s="46">
        <f t="shared" si="4"/>
        <v>0</v>
      </c>
      <c r="O583" s="46">
        <f t="shared" si="5"/>
        <v>0</v>
      </c>
      <c r="P583" s="46" t="str">
        <f t="shared" si="6"/>
        <v/>
      </c>
      <c r="Q583" s="46"/>
      <c r="R583" s="14"/>
      <c r="S583" s="14"/>
      <c r="T583" s="14"/>
      <c r="U583" s="14"/>
      <c r="V583" s="14"/>
      <c r="W583" s="14"/>
      <c r="X583" s="14"/>
      <c r="Y583" s="14"/>
      <c r="Z583" s="14"/>
    </row>
    <row r="584" ht="12.75" customHeight="1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>
        <f t="shared" ref="K584:L584" si="582">H584/12</f>
        <v>0</v>
      </c>
      <c r="L584" s="46">
        <f t="shared" si="582"/>
        <v>0</v>
      </c>
      <c r="M584" s="46"/>
      <c r="N584" s="46">
        <f t="shared" si="4"/>
        <v>0</v>
      </c>
      <c r="O584" s="46">
        <f t="shared" si="5"/>
        <v>0</v>
      </c>
      <c r="P584" s="46" t="str">
        <f t="shared" si="6"/>
        <v/>
      </c>
      <c r="Q584" s="46"/>
      <c r="R584" s="14"/>
      <c r="S584" s="14"/>
      <c r="T584" s="14"/>
      <c r="U584" s="14"/>
      <c r="V584" s="14"/>
      <c r="W584" s="14"/>
      <c r="X584" s="14"/>
      <c r="Y584" s="14"/>
      <c r="Z584" s="14"/>
    </row>
    <row r="585" ht="12.75" customHeight="1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>
        <f t="shared" ref="K585:L585" si="583">H585/12</f>
        <v>0</v>
      </c>
      <c r="L585" s="46">
        <f t="shared" si="583"/>
        <v>0</v>
      </c>
      <c r="M585" s="46"/>
      <c r="N585" s="46">
        <f t="shared" si="4"/>
        <v>0</v>
      </c>
      <c r="O585" s="46">
        <f t="shared" si="5"/>
        <v>0</v>
      </c>
      <c r="P585" s="46" t="str">
        <f t="shared" si="6"/>
        <v/>
      </c>
      <c r="Q585" s="46"/>
      <c r="R585" s="14"/>
      <c r="S585" s="14"/>
      <c r="T585" s="14"/>
      <c r="U585" s="14"/>
      <c r="V585" s="14"/>
      <c r="W585" s="14"/>
      <c r="X585" s="14"/>
      <c r="Y585" s="14"/>
      <c r="Z585" s="14"/>
    </row>
    <row r="586" ht="12.75" customHeight="1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>
        <f t="shared" ref="K586:L586" si="584">H586/12</f>
        <v>0</v>
      </c>
      <c r="L586" s="46">
        <f t="shared" si="584"/>
        <v>0</v>
      </c>
      <c r="M586" s="46"/>
      <c r="N586" s="46">
        <f t="shared" si="4"/>
        <v>0</v>
      </c>
      <c r="O586" s="46">
        <f t="shared" si="5"/>
        <v>0</v>
      </c>
      <c r="P586" s="46" t="str">
        <f t="shared" si="6"/>
        <v/>
      </c>
      <c r="Q586" s="46"/>
      <c r="R586" s="14"/>
      <c r="S586" s="14"/>
      <c r="T586" s="14"/>
      <c r="U586" s="14"/>
      <c r="V586" s="14"/>
      <c r="W586" s="14"/>
      <c r="X586" s="14"/>
      <c r="Y586" s="14"/>
      <c r="Z586" s="14"/>
    </row>
    <row r="587" ht="12.75" customHeight="1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>
        <f t="shared" ref="K587:L587" si="585">H587/12</f>
        <v>0</v>
      </c>
      <c r="L587" s="46">
        <f t="shared" si="585"/>
        <v>0</v>
      </c>
      <c r="M587" s="46"/>
      <c r="N587" s="46">
        <f t="shared" si="4"/>
        <v>0</v>
      </c>
      <c r="O587" s="46">
        <f t="shared" si="5"/>
        <v>0</v>
      </c>
      <c r="P587" s="46" t="str">
        <f t="shared" si="6"/>
        <v/>
      </c>
      <c r="Q587" s="46"/>
      <c r="R587" s="14"/>
      <c r="S587" s="14"/>
      <c r="T587" s="14"/>
      <c r="U587" s="14"/>
      <c r="V587" s="14"/>
      <c r="W587" s="14"/>
      <c r="X587" s="14"/>
      <c r="Y587" s="14"/>
      <c r="Z587" s="14"/>
    </row>
    <row r="588" ht="12.75" customHeight="1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>
        <f t="shared" ref="K588:L588" si="586">H588/12</f>
        <v>0</v>
      </c>
      <c r="L588" s="46">
        <f t="shared" si="586"/>
        <v>0</v>
      </c>
      <c r="M588" s="46"/>
      <c r="N588" s="46">
        <f t="shared" si="4"/>
        <v>0</v>
      </c>
      <c r="O588" s="46">
        <f t="shared" si="5"/>
        <v>0</v>
      </c>
      <c r="P588" s="46" t="str">
        <f t="shared" si="6"/>
        <v/>
      </c>
      <c r="Q588" s="46"/>
      <c r="R588" s="14"/>
      <c r="S588" s="14"/>
      <c r="T588" s="14"/>
      <c r="U588" s="14"/>
      <c r="V588" s="14"/>
      <c r="W588" s="14"/>
      <c r="X588" s="14"/>
      <c r="Y588" s="14"/>
      <c r="Z588" s="14"/>
    </row>
    <row r="589" ht="12.75" customHeight="1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>
        <f t="shared" ref="K589:L589" si="587">H589/12</f>
        <v>0</v>
      </c>
      <c r="L589" s="46">
        <f t="shared" si="587"/>
        <v>0</v>
      </c>
      <c r="M589" s="46"/>
      <c r="N589" s="46">
        <f t="shared" si="4"/>
        <v>0</v>
      </c>
      <c r="O589" s="46">
        <f t="shared" si="5"/>
        <v>0</v>
      </c>
      <c r="P589" s="46" t="str">
        <f t="shared" si="6"/>
        <v/>
      </c>
      <c r="Q589" s="46"/>
      <c r="R589" s="14"/>
      <c r="S589" s="14"/>
      <c r="T589" s="14"/>
      <c r="U589" s="14"/>
      <c r="V589" s="14"/>
      <c r="W589" s="14"/>
      <c r="X589" s="14"/>
      <c r="Y589" s="14"/>
      <c r="Z589" s="14"/>
    </row>
    <row r="590" ht="12.75" customHeight="1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>
        <f t="shared" ref="K590:L590" si="588">H590/12</f>
        <v>0</v>
      </c>
      <c r="L590" s="46">
        <f t="shared" si="588"/>
        <v>0</v>
      </c>
      <c r="M590" s="46"/>
      <c r="N590" s="46">
        <f t="shared" si="4"/>
        <v>0</v>
      </c>
      <c r="O590" s="46">
        <f t="shared" si="5"/>
        <v>0</v>
      </c>
      <c r="P590" s="46" t="str">
        <f t="shared" si="6"/>
        <v/>
      </c>
      <c r="Q590" s="46"/>
      <c r="R590" s="14"/>
      <c r="S590" s="14"/>
      <c r="T590" s="14"/>
      <c r="U590" s="14"/>
      <c r="V590" s="14"/>
      <c r="W590" s="14"/>
      <c r="X590" s="14"/>
      <c r="Y590" s="14"/>
      <c r="Z590" s="14"/>
    </row>
    <row r="591" ht="12.75" customHeight="1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>
        <f t="shared" ref="K591:L591" si="589">H591/12</f>
        <v>0</v>
      </c>
      <c r="L591" s="46">
        <f t="shared" si="589"/>
        <v>0</v>
      </c>
      <c r="M591" s="46"/>
      <c r="N591" s="46">
        <f t="shared" si="4"/>
        <v>0</v>
      </c>
      <c r="O591" s="46">
        <f t="shared" si="5"/>
        <v>0</v>
      </c>
      <c r="P591" s="46" t="str">
        <f t="shared" si="6"/>
        <v/>
      </c>
      <c r="Q591" s="46"/>
      <c r="R591" s="14"/>
      <c r="S591" s="14"/>
      <c r="T591" s="14"/>
      <c r="U591" s="14"/>
      <c r="V591" s="14"/>
      <c r="W591" s="14"/>
      <c r="X591" s="14"/>
      <c r="Y591" s="14"/>
      <c r="Z591" s="14"/>
    </row>
    <row r="592" ht="12.75" customHeight="1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>
        <f t="shared" ref="K592:L592" si="590">H592/12</f>
        <v>0</v>
      </c>
      <c r="L592" s="46">
        <f t="shared" si="590"/>
        <v>0</v>
      </c>
      <c r="M592" s="46"/>
      <c r="N592" s="46">
        <f t="shared" si="4"/>
        <v>0</v>
      </c>
      <c r="O592" s="46">
        <f t="shared" si="5"/>
        <v>0</v>
      </c>
      <c r="P592" s="46" t="str">
        <f t="shared" si="6"/>
        <v/>
      </c>
      <c r="Q592" s="46"/>
      <c r="R592" s="14"/>
      <c r="S592" s="14"/>
      <c r="T592" s="14"/>
      <c r="U592" s="14"/>
      <c r="V592" s="14"/>
      <c r="W592" s="14"/>
      <c r="X592" s="14"/>
      <c r="Y592" s="14"/>
      <c r="Z592" s="14"/>
    </row>
    <row r="593" ht="12.75" customHeight="1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>
        <f t="shared" ref="K593:L593" si="591">H593/12</f>
        <v>0</v>
      </c>
      <c r="L593" s="46">
        <f t="shared" si="591"/>
        <v>0</v>
      </c>
      <c r="M593" s="46"/>
      <c r="N593" s="46">
        <f t="shared" si="4"/>
        <v>0</v>
      </c>
      <c r="O593" s="46">
        <f t="shared" si="5"/>
        <v>0</v>
      </c>
      <c r="P593" s="46" t="str">
        <f t="shared" si="6"/>
        <v/>
      </c>
      <c r="Q593" s="46"/>
      <c r="R593" s="14"/>
      <c r="S593" s="14"/>
      <c r="T593" s="14"/>
      <c r="U593" s="14"/>
      <c r="V593" s="14"/>
      <c r="W593" s="14"/>
      <c r="X593" s="14"/>
      <c r="Y593" s="14"/>
      <c r="Z593" s="14"/>
    </row>
    <row r="594" ht="12.75" customHeight="1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>
        <f t="shared" ref="K594:L594" si="592">H594/12</f>
        <v>0</v>
      </c>
      <c r="L594" s="46">
        <f t="shared" si="592"/>
        <v>0</v>
      </c>
      <c r="M594" s="46"/>
      <c r="N594" s="46">
        <f t="shared" si="4"/>
        <v>0</v>
      </c>
      <c r="O594" s="46">
        <f t="shared" si="5"/>
        <v>0</v>
      </c>
      <c r="P594" s="46" t="str">
        <f t="shared" si="6"/>
        <v/>
      </c>
      <c r="Q594" s="46"/>
      <c r="R594" s="14"/>
      <c r="S594" s="14"/>
      <c r="T594" s="14"/>
      <c r="U594" s="14"/>
      <c r="V594" s="14"/>
      <c r="W594" s="14"/>
      <c r="X594" s="14"/>
      <c r="Y594" s="14"/>
      <c r="Z594" s="14"/>
    </row>
    <row r="595" ht="12.75" customHeight="1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>
        <f t="shared" ref="K595:L595" si="593">H595/12</f>
        <v>0</v>
      </c>
      <c r="L595" s="46">
        <f t="shared" si="593"/>
        <v>0</v>
      </c>
      <c r="M595" s="46"/>
      <c r="N595" s="46">
        <f t="shared" si="4"/>
        <v>0</v>
      </c>
      <c r="O595" s="46">
        <f t="shared" si="5"/>
        <v>0</v>
      </c>
      <c r="P595" s="46" t="str">
        <f t="shared" si="6"/>
        <v/>
      </c>
      <c r="Q595" s="46"/>
      <c r="R595" s="14"/>
      <c r="S595" s="14"/>
      <c r="T595" s="14"/>
      <c r="U595" s="14"/>
      <c r="V595" s="14"/>
      <c r="W595" s="14"/>
      <c r="X595" s="14"/>
      <c r="Y595" s="14"/>
      <c r="Z595" s="14"/>
    </row>
    <row r="596" ht="12.75" customHeight="1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>
        <f t="shared" ref="K596:L596" si="594">H596/12</f>
        <v>0</v>
      </c>
      <c r="L596" s="46">
        <f t="shared" si="594"/>
        <v>0</v>
      </c>
      <c r="M596" s="46"/>
      <c r="N596" s="46">
        <f t="shared" si="4"/>
        <v>0</v>
      </c>
      <c r="O596" s="46">
        <f t="shared" si="5"/>
        <v>0</v>
      </c>
      <c r="P596" s="46" t="str">
        <f t="shared" si="6"/>
        <v/>
      </c>
      <c r="Q596" s="46"/>
      <c r="R596" s="14"/>
      <c r="S596" s="14"/>
      <c r="T596" s="14"/>
      <c r="U596" s="14"/>
      <c r="V596" s="14"/>
      <c r="W596" s="14"/>
      <c r="X596" s="14"/>
      <c r="Y596" s="14"/>
      <c r="Z596" s="14"/>
    </row>
    <row r="597" ht="12.75" customHeight="1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>
        <f t="shared" ref="K597:L597" si="595">H597/12</f>
        <v>0</v>
      </c>
      <c r="L597" s="46">
        <f t="shared" si="595"/>
        <v>0</v>
      </c>
      <c r="M597" s="46"/>
      <c r="N597" s="46">
        <f t="shared" si="4"/>
        <v>0</v>
      </c>
      <c r="O597" s="46">
        <f t="shared" si="5"/>
        <v>0</v>
      </c>
      <c r="P597" s="46" t="str">
        <f t="shared" si="6"/>
        <v/>
      </c>
      <c r="Q597" s="46"/>
      <c r="R597" s="14"/>
      <c r="S597" s="14"/>
      <c r="T597" s="14"/>
      <c r="U597" s="14"/>
      <c r="V597" s="14"/>
      <c r="W597" s="14"/>
      <c r="X597" s="14"/>
      <c r="Y597" s="14"/>
      <c r="Z597" s="14"/>
    </row>
    <row r="598" ht="12.75" customHeight="1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>
        <f t="shared" ref="K598:L598" si="596">H598/12</f>
        <v>0</v>
      </c>
      <c r="L598" s="46">
        <f t="shared" si="596"/>
        <v>0</v>
      </c>
      <c r="M598" s="46"/>
      <c r="N598" s="46">
        <f t="shared" si="4"/>
        <v>0</v>
      </c>
      <c r="O598" s="46">
        <f t="shared" si="5"/>
        <v>0</v>
      </c>
      <c r="P598" s="46" t="str">
        <f t="shared" si="6"/>
        <v/>
      </c>
      <c r="Q598" s="46"/>
      <c r="R598" s="14"/>
      <c r="S598" s="14"/>
      <c r="T598" s="14"/>
      <c r="U598" s="14"/>
      <c r="V598" s="14"/>
      <c r="W598" s="14"/>
      <c r="X598" s="14"/>
      <c r="Y598" s="14"/>
      <c r="Z598" s="14"/>
    </row>
    <row r="599" ht="12.75" customHeight="1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>
        <f t="shared" ref="K599:L599" si="597">H599/12</f>
        <v>0</v>
      </c>
      <c r="L599" s="46">
        <f t="shared" si="597"/>
        <v>0</v>
      </c>
      <c r="M599" s="46"/>
      <c r="N599" s="46">
        <f t="shared" si="4"/>
        <v>0</v>
      </c>
      <c r="O599" s="46">
        <f t="shared" si="5"/>
        <v>0</v>
      </c>
      <c r="P599" s="46" t="str">
        <f t="shared" si="6"/>
        <v/>
      </c>
      <c r="Q599" s="46"/>
      <c r="R599" s="14"/>
      <c r="S599" s="14"/>
      <c r="T599" s="14"/>
      <c r="U599" s="14"/>
      <c r="V599" s="14"/>
      <c r="W599" s="14"/>
      <c r="X599" s="14"/>
      <c r="Y599" s="14"/>
      <c r="Z599" s="14"/>
    </row>
    <row r="600" ht="12.75" customHeight="1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>
        <f t="shared" ref="K600:L600" si="598">H600/12</f>
        <v>0</v>
      </c>
      <c r="L600" s="46">
        <f t="shared" si="598"/>
        <v>0</v>
      </c>
      <c r="M600" s="46"/>
      <c r="N600" s="46">
        <f t="shared" si="4"/>
        <v>0</v>
      </c>
      <c r="O600" s="46">
        <f t="shared" si="5"/>
        <v>0</v>
      </c>
      <c r="P600" s="46" t="str">
        <f t="shared" si="6"/>
        <v/>
      </c>
      <c r="Q600" s="46"/>
      <c r="R600" s="14"/>
      <c r="S600" s="14"/>
      <c r="T600" s="14"/>
      <c r="U600" s="14"/>
      <c r="V600" s="14"/>
      <c r="W600" s="14"/>
      <c r="X600" s="14"/>
      <c r="Y600" s="14"/>
      <c r="Z600" s="14"/>
    </row>
    <row r="601" ht="12.75" customHeight="1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>
        <f t="shared" ref="K601:L601" si="599">H601/12</f>
        <v>0</v>
      </c>
      <c r="L601" s="46">
        <f t="shared" si="599"/>
        <v>0</v>
      </c>
      <c r="M601" s="46"/>
      <c r="N601" s="46">
        <f t="shared" si="4"/>
        <v>0</v>
      </c>
      <c r="O601" s="46">
        <f t="shared" si="5"/>
        <v>0</v>
      </c>
      <c r="P601" s="46" t="str">
        <f t="shared" si="6"/>
        <v/>
      </c>
      <c r="Q601" s="46"/>
      <c r="R601" s="14"/>
      <c r="S601" s="14"/>
      <c r="T601" s="14"/>
      <c r="U601" s="14"/>
      <c r="V601" s="14"/>
      <c r="W601" s="14"/>
      <c r="X601" s="14"/>
      <c r="Y601" s="14"/>
      <c r="Z601" s="14"/>
    </row>
    <row r="602" ht="12.75" customHeight="1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>
        <f t="shared" ref="K602:L602" si="600">H602/12</f>
        <v>0</v>
      </c>
      <c r="L602" s="46">
        <f t="shared" si="600"/>
        <v>0</v>
      </c>
      <c r="M602" s="46"/>
      <c r="N602" s="46">
        <f t="shared" si="4"/>
        <v>0</v>
      </c>
      <c r="O602" s="46">
        <f t="shared" si="5"/>
        <v>0</v>
      </c>
      <c r="P602" s="46" t="str">
        <f t="shared" si="6"/>
        <v/>
      </c>
      <c r="Q602" s="46"/>
      <c r="R602" s="14"/>
      <c r="S602" s="14"/>
      <c r="T602" s="14"/>
      <c r="U602" s="14"/>
      <c r="V602" s="14"/>
      <c r="W602" s="14"/>
      <c r="X602" s="14"/>
      <c r="Y602" s="14"/>
      <c r="Z602" s="14"/>
    </row>
    <row r="603" ht="12.75" customHeight="1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>
        <f t="shared" ref="K603:L603" si="601">H603/12</f>
        <v>0</v>
      </c>
      <c r="L603" s="46">
        <f t="shared" si="601"/>
        <v>0</v>
      </c>
      <c r="M603" s="46"/>
      <c r="N603" s="46">
        <f t="shared" si="4"/>
        <v>0</v>
      </c>
      <c r="O603" s="46">
        <f t="shared" si="5"/>
        <v>0</v>
      </c>
      <c r="P603" s="46" t="str">
        <f t="shared" si="6"/>
        <v/>
      </c>
      <c r="Q603" s="46"/>
      <c r="R603" s="14"/>
      <c r="S603" s="14"/>
      <c r="T603" s="14"/>
      <c r="U603" s="14"/>
      <c r="V603" s="14"/>
      <c r="W603" s="14"/>
      <c r="X603" s="14"/>
      <c r="Y603" s="14"/>
      <c r="Z603" s="14"/>
    </row>
    <row r="604" ht="12.75" customHeight="1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>
        <f t="shared" ref="K604:L604" si="602">H604/12</f>
        <v>0</v>
      </c>
      <c r="L604" s="46">
        <f t="shared" si="602"/>
        <v>0</v>
      </c>
      <c r="M604" s="46"/>
      <c r="N604" s="46">
        <f t="shared" si="4"/>
        <v>0</v>
      </c>
      <c r="O604" s="46">
        <f t="shared" si="5"/>
        <v>0</v>
      </c>
      <c r="P604" s="46" t="str">
        <f t="shared" si="6"/>
        <v/>
      </c>
      <c r="Q604" s="46"/>
      <c r="R604" s="14"/>
      <c r="S604" s="14"/>
      <c r="T604" s="14"/>
      <c r="U604" s="14"/>
      <c r="V604" s="14"/>
      <c r="W604" s="14"/>
      <c r="X604" s="14"/>
      <c r="Y604" s="14"/>
      <c r="Z604" s="14"/>
    </row>
    <row r="605" ht="12.75" customHeight="1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>
        <f t="shared" ref="K605:L605" si="603">H605/12</f>
        <v>0</v>
      </c>
      <c r="L605" s="46">
        <f t="shared" si="603"/>
        <v>0</v>
      </c>
      <c r="M605" s="46"/>
      <c r="N605" s="46">
        <f t="shared" si="4"/>
        <v>0</v>
      </c>
      <c r="O605" s="46">
        <f t="shared" si="5"/>
        <v>0</v>
      </c>
      <c r="P605" s="46" t="str">
        <f t="shared" si="6"/>
        <v/>
      </c>
      <c r="Q605" s="46"/>
      <c r="R605" s="14"/>
      <c r="S605" s="14"/>
      <c r="T605" s="14"/>
      <c r="U605" s="14"/>
      <c r="V605" s="14"/>
      <c r="W605" s="14"/>
      <c r="X605" s="14"/>
      <c r="Y605" s="14"/>
      <c r="Z605" s="14"/>
    </row>
    <row r="606" ht="12.75" customHeight="1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>
        <f t="shared" ref="K606:L606" si="604">H606/12</f>
        <v>0</v>
      </c>
      <c r="L606" s="46">
        <f t="shared" si="604"/>
        <v>0</v>
      </c>
      <c r="M606" s="46"/>
      <c r="N606" s="46">
        <f t="shared" si="4"/>
        <v>0</v>
      </c>
      <c r="O606" s="46">
        <f t="shared" si="5"/>
        <v>0</v>
      </c>
      <c r="P606" s="46" t="str">
        <f t="shared" si="6"/>
        <v/>
      </c>
      <c r="Q606" s="46"/>
      <c r="R606" s="14"/>
      <c r="S606" s="14"/>
      <c r="T606" s="14"/>
      <c r="U606" s="14"/>
      <c r="V606" s="14"/>
      <c r="W606" s="14"/>
      <c r="X606" s="14"/>
      <c r="Y606" s="14"/>
      <c r="Z606" s="14"/>
    </row>
    <row r="607" ht="12.75" customHeight="1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>
        <f t="shared" ref="K607:L607" si="605">H607/12</f>
        <v>0</v>
      </c>
      <c r="L607" s="46">
        <f t="shared" si="605"/>
        <v>0</v>
      </c>
      <c r="M607" s="46"/>
      <c r="N607" s="46">
        <f t="shared" si="4"/>
        <v>0</v>
      </c>
      <c r="O607" s="46">
        <f t="shared" si="5"/>
        <v>0</v>
      </c>
      <c r="P607" s="46" t="str">
        <f t="shared" si="6"/>
        <v/>
      </c>
      <c r="Q607" s="46"/>
      <c r="R607" s="14"/>
      <c r="S607" s="14"/>
      <c r="T607" s="14"/>
      <c r="U607" s="14"/>
      <c r="V607" s="14"/>
      <c r="W607" s="14"/>
      <c r="X607" s="14"/>
      <c r="Y607" s="14"/>
      <c r="Z607" s="14"/>
    </row>
    <row r="608" ht="12.75" customHeight="1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>
        <f t="shared" ref="K608:L608" si="606">H608/12</f>
        <v>0</v>
      </c>
      <c r="L608" s="46">
        <f t="shared" si="606"/>
        <v>0</v>
      </c>
      <c r="M608" s="46"/>
      <c r="N608" s="46">
        <f t="shared" si="4"/>
        <v>0</v>
      </c>
      <c r="O608" s="46">
        <f t="shared" si="5"/>
        <v>0</v>
      </c>
      <c r="P608" s="46" t="str">
        <f t="shared" si="6"/>
        <v/>
      </c>
      <c r="Q608" s="46"/>
      <c r="R608" s="14"/>
      <c r="S608" s="14"/>
      <c r="T608" s="14"/>
      <c r="U608" s="14"/>
      <c r="V608" s="14"/>
      <c r="W608" s="14"/>
      <c r="X608" s="14"/>
      <c r="Y608" s="14"/>
      <c r="Z608" s="14"/>
    </row>
    <row r="609" ht="12.75" customHeight="1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>
        <f t="shared" ref="K609:L609" si="607">H609/12</f>
        <v>0</v>
      </c>
      <c r="L609" s="46">
        <f t="shared" si="607"/>
        <v>0</v>
      </c>
      <c r="M609" s="46"/>
      <c r="N609" s="46">
        <f t="shared" si="4"/>
        <v>0</v>
      </c>
      <c r="O609" s="46">
        <f t="shared" si="5"/>
        <v>0</v>
      </c>
      <c r="P609" s="46" t="str">
        <f t="shared" si="6"/>
        <v/>
      </c>
      <c r="Q609" s="46"/>
      <c r="R609" s="14"/>
      <c r="S609" s="14"/>
      <c r="T609" s="14"/>
      <c r="U609" s="14"/>
      <c r="V609" s="14"/>
      <c r="W609" s="14"/>
      <c r="X609" s="14"/>
      <c r="Y609" s="14"/>
      <c r="Z609" s="14"/>
    </row>
    <row r="610" ht="12.75" customHeight="1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>
        <f t="shared" ref="K610:L610" si="608">H610/12</f>
        <v>0</v>
      </c>
      <c r="L610" s="46">
        <f t="shared" si="608"/>
        <v>0</v>
      </c>
      <c r="M610" s="46"/>
      <c r="N610" s="46">
        <f t="shared" si="4"/>
        <v>0</v>
      </c>
      <c r="O610" s="46">
        <f t="shared" si="5"/>
        <v>0</v>
      </c>
      <c r="P610" s="46" t="str">
        <f t="shared" si="6"/>
        <v/>
      </c>
      <c r="Q610" s="46"/>
      <c r="R610" s="14"/>
      <c r="S610" s="14"/>
      <c r="T610" s="14"/>
      <c r="U610" s="14"/>
      <c r="V610" s="14"/>
      <c r="W610" s="14"/>
      <c r="X610" s="14"/>
      <c r="Y610" s="14"/>
      <c r="Z610" s="14"/>
    </row>
    <row r="611" ht="12.75" customHeight="1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>
        <f t="shared" ref="K611:L611" si="609">H611/12</f>
        <v>0</v>
      </c>
      <c r="L611" s="46">
        <f t="shared" si="609"/>
        <v>0</v>
      </c>
      <c r="M611" s="46"/>
      <c r="N611" s="46">
        <f t="shared" si="4"/>
        <v>0</v>
      </c>
      <c r="O611" s="46">
        <f t="shared" si="5"/>
        <v>0</v>
      </c>
      <c r="P611" s="46" t="str">
        <f t="shared" si="6"/>
        <v/>
      </c>
      <c r="Q611" s="46"/>
      <c r="R611" s="14"/>
      <c r="S611" s="14"/>
      <c r="T611" s="14"/>
      <c r="U611" s="14"/>
      <c r="V611" s="14"/>
      <c r="W611" s="14"/>
      <c r="X611" s="14"/>
      <c r="Y611" s="14"/>
      <c r="Z611" s="14"/>
    </row>
    <row r="612" ht="12.75" customHeight="1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>
        <f t="shared" ref="K612:L612" si="610">H612/12</f>
        <v>0</v>
      </c>
      <c r="L612" s="46">
        <f t="shared" si="610"/>
        <v>0</v>
      </c>
      <c r="M612" s="46"/>
      <c r="N612" s="46">
        <f t="shared" si="4"/>
        <v>0</v>
      </c>
      <c r="O612" s="46">
        <f t="shared" si="5"/>
        <v>0</v>
      </c>
      <c r="P612" s="46" t="str">
        <f t="shared" si="6"/>
        <v/>
      </c>
      <c r="Q612" s="46"/>
      <c r="R612" s="14"/>
      <c r="S612" s="14"/>
      <c r="T612" s="14"/>
      <c r="U612" s="14"/>
      <c r="V612" s="14"/>
      <c r="W612" s="14"/>
      <c r="X612" s="14"/>
      <c r="Y612" s="14"/>
      <c r="Z612" s="14"/>
    </row>
    <row r="613" ht="12.75" customHeight="1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>
        <f t="shared" ref="K613:L613" si="611">H613/12</f>
        <v>0</v>
      </c>
      <c r="L613" s="46">
        <f t="shared" si="611"/>
        <v>0</v>
      </c>
      <c r="M613" s="46"/>
      <c r="N613" s="46">
        <f t="shared" si="4"/>
        <v>0</v>
      </c>
      <c r="O613" s="46">
        <f t="shared" si="5"/>
        <v>0</v>
      </c>
      <c r="P613" s="46" t="str">
        <f t="shared" si="6"/>
        <v/>
      </c>
      <c r="Q613" s="46"/>
      <c r="R613" s="14"/>
      <c r="S613" s="14"/>
      <c r="T613" s="14"/>
      <c r="U613" s="14"/>
      <c r="V613" s="14"/>
      <c r="W613" s="14"/>
      <c r="X613" s="14"/>
      <c r="Y613" s="14"/>
      <c r="Z613" s="14"/>
    </row>
    <row r="614" ht="12.75" customHeight="1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>
        <f t="shared" ref="K614:L614" si="612">H614/12</f>
        <v>0</v>
      </c>
      <c r="L614" s="46">
        <f t="shared" si="612"/>
        <v>0</v>
      </c>
      <c r="M614" s="46"/>
      <c r="N614" s="46">
        <f t="shared" si="4"/>
        <v>0</v>
      </c>
      <c r="O614" s="46">
        <f t="shared" si="5"/>
        <v>0</v>
      </c>
      <c r="P614" s="46" t="str">
        <f t="shared" si="6"/>
        <v/>
      </c>
      <c r="Q614" s="46"/>
      <c r="R614" s="14"/>
      <c r="S614" s="14"/>
      <c r="T614" s="14"/>
      <c r="U614" s="14"/>
      <c r="V614" s="14"/>
      <c r="W614" s="14"/>
      <c r="X614" s="14"/>
      <c r="Y614" s="14"/>
      <c r="Z614" s="14"/>
    </row>
    <row r="615" ht="12.75" customHeight="1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>
        <f t="shared" ref="K615:L615" si="613">H615/12</f>
        <v>0</v>
      </c>
      <c r="L615" s="46">
        <f t="shared" si="613"/>
        <v>0</v>
      </c>
      <c r="M615" s="46"/>
      <c r="N615" s="46">
        <f t="shared" si="4"/>
        <v>0</v>
      </c>
      <c r="O615" s="46">
        <f t="shared" si="5"/>
        <v>0</v>
      </c>
      <c r="P615" s="46" t="str">
        <f t="shared" si="6"/>
        <v/>
      </c>
      <c r="Q615" s="46"/>
      <c r="R615" s="14"/>
      <c r="S615" s="14"/>
      <c r="T615" s="14"/>
      <c r="U615" s="14"/>
      <c r="V615" s="14"/>
      <c r="W615" s="14"/>
      <c r="X615" s="14"/>
      <c r="Y615" s="14"/>
      <c r="Z615" s="14"/>
    </row>
    <row r="616" ht="12.75" customHeight="1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>
        <f t="shared" ref="K616:L616" si="614">H616/12</f>
        <v>0</v>
      </c>
      <c r="L616" s="46">
        <f t="shared" si="614"/>
        <v>0</v>
      </c>
      <c r="M616" s="46"/>
      <c r="N616" s="46">
        <f t="shared" si="4"/>
        <v>0</v>
      </c>
      <c r="O616" s="46">
        <f t="shared" si="5"/>
        <v>0</v>
      </c>
      <c r="P616" s="46" t="str">
        <f t="shared" si="6"/>
        <v/>
      </c>
      <c r="Q616" s="46"/>
      <c r="R616" s="14"/>
      <c r="S616" s="14"/>
      <c r="T616" s="14"/>
      <c r="U616" s="14"/>
      <c r="V616" s="14"/>
      <c r="W616" s="14"/>
      <c r="X616" s="14"/>
      <c r="Y616" s="14"/>
      <c r="Z616" s="14"/>
    </row>
    <row r="617" ht="12.75" customHeight="1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>
        <f t="shared" ref="K617:L617" si="615">H617/12</f>
        <v>0</v>
      </c>
      <c r="L617" s="46">
        <f t="shared" si="615"/>
        <v>0</v>
      </c>
      <c r="M617" s="46"/>
      <c r="N617" s="46">
        <f t="shared" si="4"/>
        <v>0</v>
      </c>
      <c r="O617" s="46">
        <f t="shared" si="5"/>
        <v>0</v>
      </c>
      <c r="P617" s="46" t="str">
        <f t="shared" si="6"/>
        <v/>
      </c>
      <c r="Q617" s="46"/>
      <c r="R617" s="14"/>
      <c r="S617" s="14"/>
      <c r="T617" s="14"/>
      <c r="U617" s="14"/>
      <c r="V617" s="14"/>
      <c r="W617" s="14"/>
      <c r="X617" s="14"/>
      <c r="Y617" s="14"/>
      <c r="Z617" s="14"/>
    </row>
    <row r="618" ht="12.75" customHeight="1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>
        <f t="shared" ref="K618:L618" si="616">H618/12</f>
        <v>0</v>
      </c>
      <c r="L618" s="46">
        <f t="shared" si="616"/>
        <v>0</v>
      </c>
      <c r="M618" s="46"/>
      <c r="N618" s="46">
        <f t="shared" si="4"/>
        <v>0</v>
      </c>
      <c r="O618" s="46">
        <f t="shared" si="5"/>
        <v>0</v>
      </c>
      <c r="P618" s="46" t="str">
        <f t="shared" si="6"/>
        <v/>
      </c>
      <c r="Q618" s="46"/>
      <c r="R618" s="14"/>
      <c r="S618" s="14"/>
      <c r="T618" s="14"/>
      <c r="U618" s="14"/>
      <c r="V618" s="14"/>
      <c r="W618" s="14"/>
      <c r="X618" s="14"/>
      <c r="Y618" s="14"/>
      <c r="Z618" s="14"/>
    </row>
    <row r="619" ht="12.75" customHeight="1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>
        <f t="shared" ref="K619:L619" si="617">H619/12</f>
        <v>0</v>
      </c>
      <c r="L619" s="46">
        <f t="shared" si="617"/>
        <v>0</v>
      </c>
      <c r="M619" s="46"/>
      <c r="N619" s="46">
        <f t="shared" si="4"/>
        <v>0</v>
      </c>
      <c r="O619" s="46">
        <f t="shared" si="5"/>
        <v>0</v>
      </c>
      <c r="P619" s="46" t="str">
        <f t="shared" si="6"/>
        <v/>
      </c>
      <c r="Q619" s="46"/>
      <c r="R619" s="14"/>
      <c r="S619" s="14"/>
      <c r="T619" s="14"/>
      <c r="U619" s="14"/>
      <c r="V619" s="14"/>
      <c r="W619" s="14"/>
      <c r="X619" s="14"/>
      <c r="Y619" s="14"/>
      <c r="Z619" s="14"/>
    </row>
    <row r="620" ht="12.75" customHeight="1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>
        <f t="shared" ref="K620:L620" si="618">H620/12</f>
        <v>0</v>
      </c>
      <c r="L620" s="46">
        <f t="shared" si="618"/>
        <v>0</v>
      </c>
      <c r="M620" s="46"/>
      <c r="N620" s="46">
        <f t="shared" si="4"/>
        <v>0</v>
      </c>
      <c r="O620" s="46">
        <f t="shared" si="5"/>
        <v>0</v>
      </c>
      <c r="P620" s="46" t="str">
        <f t="shared" si="6"/>
        <v/>
      </c>
      <c r="Q620" s="46"/>
      <c r="R620" s="14"/>
      <c r="S620" s="14"/>
      <c r="T620" s="14"/>
      <c r="U620" s="14"/>
      <c r="V620" s="14"/>
      <c r="W620" s="14"/>
      <c r="X620" s="14"/>
      <c r="Y620" s="14"/>
      <c r="Z620" s="14"/>
    </row>
    <row r="621" ht="12.75" customHeight="1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>
        <f t="shared" ref="K621:L621" si="619">H621/12</f>
        <v>0</v>
      </c>
      <c r="L621" s="46">
        <f t="shared" si="619"/>
        <v>0</v>
      </c>
      <c r="M621" s="46"/>
      <c r="N621" s="46">
        <f t="shared" si="4"/>
        <v>0</v>
      </c>
      <c r="O621" s="46">
        <f t="shared" si="5"/>
        <v>0</v>
      </c>
      <c r="P621" s="46" t="str">
        <f t="shared" si="6"/>
        <v/>
      </c>
      <c r="Q621" s="46"/>
      <c r="R621" s="14"/>
      <c r="S621" s="14"/>
      <c r="T621" s="14"/>
      <c r="U621" s="14"/>
      <c r="V621" s="14"/>
      <c r="W621" s="14"/>
      <c r="X621" s="14"/>
      <c r="Y621" s="14"/>
      <c r="Z621" s="14"/>
    </row>
    <row r="622" ht="12.75" customHeight="1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>
        <f t="shared" ref="K622:L622" si="620">H622/12</f>
        <v>0</v>
      </c>
      <c r="L622" s="46">
        <f t="shared" si="620"/>
        <v>0</v>
      </c>
      <c r="M622" s="46"/>
      <c r="N622" s="46">
        <f t="shared" si="4"/>
        <v>0</v>
      </c>
      <c r="O622" s="46">
        <f t="shared" si="5"/>
        <v>0</v>
      </c>
      <c r="P622" s="46" t="str">
        <f t="shared" si="6"/>
        <v/>
      </c>
      <c r="Q622" s="46"/>
      <c r="R622" s="14"/>
      <c r="S622" s="14"/>
      <c r="T622" s="14"/>
      <c r="U622" s="14"/>
      <c r="V622" s="14"/>
      <c r="W622" s="14"/>
      <c r="X622" s="14"/>
      <c r="Y622" s="14"/>
      <c r="Z622" s="14"/>
    </row>
    <row r="623" ht="12.75" customHeight="1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>
        <f t="shared" ref="K623:L623" si="621">H623/12</f>
        <v>0</v>
      </c>
      <c r="L623" s="46">
        <f t="shared" si="621"/>
        <v>0</v>
      </c>
      <c r="M623" s="46"/>
      <c r="N623" s="46">
        <f t="shared" si="4"/>
        <v>0</v>
      </c>
      <c r="O623" s="46">
        <f t="shared" si="5"/>
        <v>0</v>
      </c>
      <c r="P623" s="46" t="str">
        <f t="shared" si="6"/>
        <v/>
      </c>
      <c r="Q623" s="46"/>
      <c r="R623" s="14"/>
      <c r="S623" s="14"/>
      <c r="T623" s="14"/>
      <c r="U623" s="14"/>
      <c r="V623" s="14"/>
      <c r="W623" s="14"/>
      <c r="X623" s="14"/>
      <c r="Y623" s="14"/>
      <c r="Z623" s="14"/>
    </row>
    <row r="624" ht="12.75" customHeight="1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>
        <f t="shared" ref="K624:L624" si="622">H624/12</f>
        <v>0</v>
      </c>
      <c r="L624" s="46">
        <f t="shared" si="622"/>
        <v>0</v>
      </c>
      <c r="M624" s="46"/>
      <c r="N624" s="46">
        <f t="shared" si="4"/>
        <v>0</v>
      </c>
      <c r="O624" s="46">
        <f t="shared" si="5"/>
        <v>0</v>
      </c>
      <c r="P624" s="46" t="str">
        <f t="shared" si="6"/>
        <v/>
      </c>
      <c r="Q624" s="46"/>
      <c r="R624" s="14"/>
      <c r="S624" s="14"/>
      <c r="T624" s="14"/>
      <c r="U624" s="14"/>
      <c r="V624" s="14"/>
      <c r="W624" s="14"/>
      <c r="X624" s="14"/>
      <c r="Y624" s="14"/>
      <c r="Z624" s="14"/>
    </row>
    <row r="625" ht="12.75" customHeight="1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>
        <f t="shared" ref="K625:L625" si="623">H625/12</f>
        <v>0</v>
      </c>
      <c r="L625" s="46">
        <f t="shared" si="623"/>
        <v>0</v>
      </c>
      <c r="M625" s="46"/>
      <c r="N625" s="46">
        <f t="shared" si="4"/>
        <v>0</v>
      </c>
      <c r="O625" s="46">
        <f t="shared" si="5"/>
        <v>0</v>
      </c>
      <c r="P625" s="46" t="str">
        <f t="shared" si="6"/>
        <v/>
      </c>
      <c r="Q625" s="46"/>
      <c r="R625" s="14"/>
      <c r="S625" s="14"/>
      <c r="T625" s="14"/>
      <c r="U625" s="14"/>
      <c r="V625" s="14"/>
      <c r="W625" s="14"/>
      <c r="X625" s="14"/>
      <c r="Y625" s="14"/>
      <c r="Z625" s="14"/>
    </row>
    <row r="626" ht="12.75" customHeight="1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>
        <f t="shared" ref="K626:L626" si="624">H626/12</f>
        <v>0</v>
      </c>
      <c r="L626" s="46">
        <f t="shared" si="624"/>
        <v>0</v>
      </c>
      <c r="M626" s="46"/>
      <c r="N626" s="46">
        <f t="shared" si="4"/>
        <v>0</v>
      </c>
      <c r="O626" s="46">
        <f t="shared" si="5"/>
        <v>0</v>
      </c>
      <c r="P626" s="46" t="str">
        <f t="shared" si="6"/>
        <v/>
      </c>
      <c r="Q626" s="46"/>
      <c r="R626" s="14"/>
      <c r="S626" s="14"/>
      <c r="T626" s="14"/>
      <c r="U626" s="14"/>
      <c r="V626" s="14"/>
      <c r="W626" s="14"/>
      <c r="X626" s="14"/>
      <c r="Y626" s="14"/>
      <c r="Z626" s="14"/>
    </row>
    <row r="627" ht="12.75" customHeight="1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>
        <f t="shared" ref="K627:L627" si="625">H627/12</f>
        <v>0</v>
      </c>
      <c r="L627" s="46">
        <f t="shared" si="625"/>
        <v>0</v>
      </c>
      <c r="M627" s="46"/>
      <c r="N627" s="46">
        <f t="shared" si="4"/>
        <v>0</v>
      </c>
      <c r="O627" s="46">
        <f t="shared" si="5"/>
        <v>0</v>
      </c>
      <c r="P627" s="46" t="str">
        <f t="shared" si="6"/>
        <v/>
      </c>
      <c r="Q627" s="46"/>
      <c r="R627" s="14"/>
      <c r="S627" s="14"/>
      <c r="T627" s="14"/>
      <c r="U627" s="14"/>
      <c r="V627" s="14"/>
      <c r="W627" s="14"/>
      <c r="X627" s="14"/>
      <c r="Y627" s="14"/>
      <c r="Z627" s="14"/>
    </row>
    <row r="628" ht="12.75" customHeight="1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>
        <f t="shared" ref="K628:L628" si="626">H628/12</f>
        <v>0</v>
      </c>
      <c r="L628" s="46">
        <f t="shared" si="626"/>
        <v>0</v>
      </c>
      <c r="M628" s="46"/>
      <c r="N628" s="46">
        <f t="shared" si="4"/>
        <v>0</v>
      </c>
      <c r="O628" s="46">
        <f t="shared" si="5"/>
        <v>0</v>
      </c>
      <c r="P628" s="46" t="str">
        <f t="shared" si="6"/>
        <v/>
      </c>
      <c r="Q628" s="46"/>
      <c r="R628" s="14"/>
      <c r="S628" s="14"/>
      <c r="T628" s="14"/>
      <c r="U628" s="14"/>
      <c r="V628" s="14"/>
      <c r="W628" s="14"/>
      <c r="X628" s="14"/>
      <c r="Y628" s="14"/>
      <c r="Z628" s="14"/>
    </row>
    <row r="629" ht="12.75" customHeight="1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>
        <f t="shared" ref="K629:L629" si="627">H629/12</f>
        <v>0</v>
      </c>
      <c r="L629" s="46">
        <f t="shared" si="627"/>
        <v>0</v>
      </c>
      <c r="M629" s="46"/>
      <c r="N629" s="46">
        <f t="shared" si="4"/>
        <v>0</v>
      </c>
      <c r="O629" s="46">
        <f t="shared" si="5"/>
        <v>0</v>
      </c>
      <c r="P629" s="46" t="str">
        <f t="shared" si="6"/>
        <v/>
      </c>
      <c r="Q629" s="46"/>
      <c r="R629" s="14"/>
      <c r="S629" s="14"/>
      <c r="T629" s="14"/>
      <c r="U629" s="14"/>
      <c r="V629" s="14"/>
      <c r="W629" s="14"/>
      <c r="X629" s="14"/>
      <c r="Y629" s="14"/>
      <c r="Z629" s="14"/>
    </row>
    <row r="630" ht="12.75" customHeight="1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>
        <f t="shared" ref="K630:L630" si="628">H630/12</f>
        <v>0</v>
      </c>
      <c r="L630" s="46">
        <f t="shared" si="628"/>
        <v>0</v>
      </c>
      <c r="M630" s="46"/>
      <c r="N630" s="46">
        <f t="shared" si="4"/>
        <v>0</v>
      </c>
      <c r="O630" s="46">
        <f t="shared" si="5"/>
        <v>0</v>
      </c>
      <c r="P630" s="46" t="str">
        <f t="shared" si="6"/>
        <v/>
      </c>
      <c r="Q630" s="46"/>
      <c r="R630" s="14"/>
      <c r="S630" s="14"/>
      <c r="T630" s="14"/>
      <c r="U630" s="14"/>
      <c r="V630" s="14"/>
      <c r="W630" s="14"/>
      <c r="X630" s="14"/>
      <c r="Y630" s="14"/>
      <c r="Z630" s="14"/>
    </row>
    <row r="631" ht="12.75" customHeight="1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>
        <f t="shared" ref="K631:L631" si="629">H631/12</f>
        <v>0</v>
      </c>
      <c r="L631" s="46">
        <f t="shared" si="629"/>
        <v>0</v>
      </c>
      <c r="M631" s="46"/>
      <c r="N631" s="46">
        <f t="shared" si="4"/>
        <v>0</v>
      </c>
      <c r="O631" s="46">
        <f t="shared" si="5"/>
        <v>0</v>
      </c>
      <c r="P631" s="46" t="str">
        <f t="shared" si="6"/>
        <v/>
      </c>
      <c r="Q631" s="46"/>
      <c r="R631" s="14"/>
      <c r="S631" s="14"/>
      <c r="T631" s="14"/>
      <c r="U631" s="14"/>
      <c r="V631" s="14"/>
      <c r="W631" s="14"/>
      <c r="X631" s="14"/>
      <c r="Y631" s="14"/>
      <c r="Z631" s="14"/>
    </row>
    <row r="632" ht="12.75" customHeight="1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>
        <f t="shared" ref="K632:L632" si="630">H632/12</f>
        <v>0</v>
      </c>
      <c r="L632" s="46">
        <f t="shared" si="630"/>
        <v>0</v>
      </c>
      <c r="M632" s="46"/>
      <c r="N632" s="46">
        <f t="shared" si="4"/>
        <v>0</v>
      </c>
      <c r="O632" s="46">
        <f t="shared" si="5"/>
        <v>0</v>
      </c>
      <c r="P632" s="46" t="str">
        <f t="shared" si="6"/>
        <v/>
      </c>
      <c r="Q632" s="46"/>
      <c r="R632" s="14"/>
      <c r="S632" s="14"/>
      <c r="T632" s="14"/>
      <c r="U632" s="14"/>
      <c r="V632" s="14"/>
      <c r="W632" s="14"/>
      <c r="X632" s="14"/>
      <c r="Y632" s="14"/>
      <c r="Z632" s="14"/>
    </row>
    <row r="633" ht="12.75" customHeight="1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>
        <f t="shared" ref="K633:L633" si="631">H633/12</f>
        <v>0</v>
      </c>
      <c r="L633" s="46">
        <f t="shared" si="631"/>
        <v>0</v>
      </c>
      <c r="M633" s="46"/>
      <c r="N633" s="46">
        <f t="shared" si="4"/>
        <v>0</v>
      </c>
      <c r="O633" s="46">
        <f t="shared" si="5"/>
        <v>0</v>
      </c>
      <c r="P633" s="46" t="str">
        <f t="shared" si="6"/>
        <v/>
      </c>
      <c r="Q633" s="46"/>
      <c r="R633" s="14"/>
      <c r="S633" s="14"/>
      <c r="T633" s="14"/>
      <c r="U633" s="14"/>
      <c r="V633" s="14"/>
      <c r="W633" s="14"/>
      <c r="X633" s="14"/>
      <c r="Y633" s="14"/>
      <c r="Z633" s="14"/>
    </row>
    <row r="634" ht="12.75" customHeight="1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>
        <f t="shared" ref="K634:L634" si="632">H634/12</f>
        <v>0</v>
      </c>
      <c r="L634" s="46">
        <f t="shared" si="632"/>
        <v>0</v>
      </c>
      <c r="M634" s="46"/>
      <c r="N634" s="46">
        <f t="shared" si="4"/>
        <v>0</v>
      </c>
      <c r="O634" s="46">
        <f t="shared" si="5"/>
        <v>0</v>
      </c>
      <c r="P634" s="46" t="str">
        <f t="shared" si="6"/>
        <v/>
      </c>
      <c r="Q634" s="46"/>
      <c r="R634" s="14"/>
      <c r="S634" s="14"/>
      <c r="T634" s="14"/>
      <c r="U634" s="14"/>
      <c r="V634" s="14"/>
      <c r="W634" s="14"/>
      <c r="X634" s="14"/>
      <c r="Y634" s="14"/>
      <c r="Z634" s="14"/>
    </row>
    <row r="635" ht="12.75" customHeight="1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>
        <f t="shared" ref="K635:L635" si="633">H635/12</f>
        <v>0</v>
      </c>
      <c r="L635" s="46">
        <f t="shared" si="633"/>
        <v>0</v>
      </c>
      <c r="M635" s="46"/>
      <c r="N635" s="46">
        <f t="shared" si="4"/>
        <v>0</v>
      </c>
      <c r="O635" s="46">
        <f t="shared" si="5"/>
        <v>0</v>
      </c>
      <c r="P635" s="46" t="str">
        <f t="shared" si="6"/>
        <v/>
      </c>
      <c r="Q635" s="46"/>
      <c r="R635" s="14"/>
      <c r="S635" s="14"/>
      <c r="T635" s="14"/>
      <c r="U635" s="14"/>
      <c r="V635" s="14"/>
      <c r="W635" s="14"/>
      <c r="X635" s="14"/>
      <c r="Y635" s="14"/>
      <c r="Z635" s="14"/>
    </row>
    <row r="636" ht="12.75" customHeight="1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>
        <f t="shared" ref="K636:L636" si="634">H636/12</f>
        <v>0</v>
      </c>
      <c r="L636" s="46">
        <f t="shared" si="634"/>
        <v>0</v>
      </c>
      <c r="M636" s="46"/>
      <c r="N636" s="46">
        <f t="shared" si="4"/>
        <v>0</v>
      </c>
      <c r="O636" s="46">
        <f t="shared" si="5"/>
        <v>0</v>
      </c>
      <c r="P636" s="46" t="str">
        <f t="shared" si="6"/>
        <v/>
      </c>
      <c r="Q636" s="46"/>
      <c r="R636" s="14"/>
      <c r="S636" s="14"/>
      <c r="T636" s="14"/>
      <c r="U636" s="14"/>
      <c r="V636" s="14"/>
      <c r="W636" s="14"/>
      <c r="X636" s="14"/>
      <c r="Y636" s="14"/>
      <c r="Z636" s="14"/>
    </row>
    <row r="637" ht="12.75" customHeight="1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>
        <f t="shared" ref="K637:L637" si="635">H637/12</f>
        <v>0</v>
      </c>
      <c r="L637" s="46">
        <f t="shared" si="635"/>
        <v>0</v>
      </c>
      <c r="M637" s="46"/>
      <c r="N637" s="46">
        <f t="shared" si="4"/>
        <v>0</v>
      </c>
      <c r="O637" s="46">
        <f t="shared" si="5"/>
        <v>0</v>
      </c>
      <c r="P637" s="46" t="str">
        <f t="shared" si="6"/>
        <v/>
      </c>
      <c r="Q637" s="46"/>
      <c r="R637" s="14"/>
      <c r="S637" s="14"/>
      <c r="T637" s="14"/>
      <c r="U637" s="14"/>
      <c r="V637" s="14"/>
      <c r="W637" s="14"/>
      <c r="X637" s="14"/>
      <c r="Y637" s="14"/>
      <c r="Z637" s="14"/>
    </row>
    <row r="638" ht="12.75" customHeight="1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>
        <f t="shared" ref="K638:L638" si="636">H638/12</f>
        <v>0</v>
      </c>
      <c r="L638" s="46">
        <f t="shared" si="636"/>
        <v>0</v>
      </c>
      <c r="M638" s="46"/>
      <c r="N638" s="46">
        <f t="shared" si="4"/>
        <v>0</v>
      </c>
      <c r="O638" s="46">
        <f t="shared" si="5"/>
        <v>0</v>
      </c>
      <c r="P638" s="46" t="str">
        <f t="shared" si="6"/>
        <v/>
      </c>
      <c r="Q638" s="46"/>
      <c r="R638" s="14"/>
      <c r="S638" s="14"/>
      <c r="T638" s="14"/>
      <c r="U638" s="14"/>
      <c r="V638" s="14"/>
      <c r="W638" s="14"/>
      <c r="X638" s="14"/>
      <c r="Y638" s="14"/>
      <c r="Z638" s="14"/>
    </row>
    <row r="639" ht="12.75" customHeight="1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>
        <f t="shared" ref="K639:L639" si="637">H639/12</f>
        <v>0</v>
      </c>
      <c r="L639" s="46">
        <f t="shared" si="637"/>
        <v>0</v>
      </c>
      <c r="M639" s="46"/>
      <c r="N639" s="46">
        <f t="shared" si="4"/>
        <v>0</v>
      </c>
      <c r="O639" s="46">
        <f t="shared" si="5"/>
        <v>0</v>
      </c>
      <c r="P639" s="46" t="str">
        <f t="shared" si="6"/>
        <v/>
      </c>
      <c r="Q639" s="46"/>
      <c r="R639" s="14"/>
      <c r="S639" s="14"/>
      <c r="T639" s="14"/>
      <c r="U639" s="14"/>
      <c r="V639" s="14"/>
      <c r="W639" s="14"/>
      <c r="X639" s="14"/>
      <c r="Y639" s="14"/>
      <c r="Z639" s="14"/>
    </row>
    <row r="640" ht="12.75" customHeight="1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>
        <f t="shared" ref="K640:L640" si="638">H640/12</f>
        <v>0</v>
      </c>
      <c r="L640" s="46">
        <f t="shared" si="638"/>
        <v>0</v>
      </c>
      <c r="M640" s="46"/>
      <c r="N640" s="46">
        <f t="shared" si="4"/>
        <v>0</v>
      </c>
      <c r="O640" s="46">
        <f t="shared" si="5"/>
        <v>0</v>
      </c>
      <c r="P640" s="46" t="str">
        <f t="shared" si="6"/>
        <v/>
      </c>
      <c r="Q640" s="46"/>
      <c r="R640" s="14"/>
      <c r="S640" s="14"/>
      <c r="T640" s="14"/>
      <c r="U640" s="14"/>
      <c r="V640" s="14"/>
      <c r="W640" s="14"/>
      <c r="X640" s="14"/>
      <c r="Y640" s="14"/>
      <c r="Z640" s="14"/>
    </row>
    <row r="641" ht="12.75" customHeight="1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>
        <f t="shared" ref="K641:L641" si="639">H641/12</f>
        <v>0</v>
      </c>
      <c r="L641" s="46">
        <f t="shared" si="639"/>
        <v>0</v>
      </c>
      <c r="M641" s="46"/>
      <c r="N641" s="46">
        <f t="shared" si="4"/>
        <v>0</v>
      </c>
      <c r="O641" s="46">
        <f t="shared" si="5"/>
        <v>0</v>
      </c>
      <c r="P641" s="46" t="str">
        <f t="shared" si="6"/>
        <v/>
      </c>
      <c r="Q641" s="46"/>
      <c r="R641" s="14"/>
      <c r="S641" s="14"/>
      <c r="T641" s="14"/>
      <c r="U641" s="14"/>
      <c r="V641" s="14"/>
      <c r="W641" s="14"/>
      <c r="X641" s="14"/>
      <c r="Y641" s="14"/>
      <c r="Z641" s="14"/>
    </row>
    <row r="642" ht="12.75" customHeight="1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>
        <f t="shared" ref="K642:L642" si="640">H642/12</f>
        <v>0</v>
      </c>
      <c r="L642" s="46">
        <f t="shared" si="640"/>
        <v>0</v>
      </c>
      <c r="M642" s="46"/>
      <c r="N642" s="46">
        <f t="shared" si="4"/>
        <v>0</v>
      </c>
      <c r="O642" s="46">
        <f t="shared" si="5"/>
        <v>0</v>
      </c>
      <c r="P642" s="46" t="str">
        <f t="shared" si="6"/>
        <v/>
      </c>
      <c r="Q642" s="46"/>
      <c r="R642" s="14"/>
      <c r="S642" s="14"/>
      <c r="T642" s="14"/>
      <c r="U642" s="14"/>
      <c r="V642" s="14"/>
      <c r="W642" s="14"/>
      <c r="X642" s="14"/>
      <c r="Y642" s="14"/>
      <c r="Z642" s="14"/>
    </row>
    <row r="643" ht="12.75" customHeight="1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>
        <f t="shared" ref="K643:L643" si="641">H643/12</f>
        <v>0</v>
      </c>
      <c r="L643" s="46">
        <f t="shared" si="641"/>
        <v>0</v>
      </c>
      <c r="M643" s="46"/>
      <c r="N643" s="46">
        <f t="shared" si="4"/>
        <v>0</v>
      </c>
      <c r="O643" s="46">
        <f t="shared" si="5"/>
        <v>0</v>
      </c>
      <c r="P643" s="46" t="str">
        <f t="shared" si="6"/>
        <v/>
      </c>
      <c r="Q643" s="46"/>
      <c r="R643" s="14"/>
      <c r="S643" s="14"/>
      <c r="T643" s="14"/>
      <c r="U643" s="14"/>
      <c r="V643" s="14"/>
      <c r="W643" s="14"/>
      <c r="X643" s="14"/>
      <c r="Y643" s="14"/>
      <c r="Z643" s="14"/>
    </row>
    <row r="644" ht="12.75" customHeight="1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>
        <f t="shared" ref="K644:L644" si="642">H644/12</f>
        <v>0</v>
      </c>
      <c r="L644" s="46">
        <f t="shared" si="642"/>
        <v>0</v>
      </c>
      <c r="M644" s="46"/>
      <c r="N644" s="46">
        <f t="shared" si="4"/>
        <v>0</v>
      </c>
      <c r="O644" s="46">
        <f t="shared" si="5"/>
        <v>0</v>
      </c>
      <c r="P644" s="46" t="str">
        <f t="shared" si="6"/>
        <v/>
      </c>
      <c r="Q644" s="46"/>
      <c r="R644" s="14"/>
      <c r="S644" s="14"/>
      <c r="T644" s="14"/>
      <c r="U644" s="14"/>
      <c r="V644" s="14"/>
      <c r="W644" s="14"/>
      <c r="X644" s="14"/>
      <c r="Y644" s="14"/>
      <c r="Z644" s="14"/>
    </row>
    <row r="645" ht="12.75" customHeight="1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>
        <f t="shared" ref="K645:L645" si="643">H645/12</f>
        <v>0</v>
      </c>
      <c r="L645" s="46">
        <f t="shared" si="643"/>
        <v>0</v>
      </c>
      <c r="M645" s="46"/>
      <c r="N645" s="46">
        <f t="shared" si="4"/>
        <v>0</v>
      </c>
      <c r="O645" s="46">
        <f t="shared" si="5"/>
        <v>0</v>
      </c>
      <c r="P645" s="46" t="str">
        <f t="shared" si="6"/>
        <v/>
      </c>
      <c r="Q645" s="46"/>
      <c r="R645" s="14"/>
      <c r="S645" s="14"/>
      <c r="T645" s="14"/>
      <c r="U645" s="14"/>
      <c r="V645" s="14"/>
      <c r="W645" s="14"/>
      <c r="X645" s="14"/>
      <c r="Y645" s="14"/>
      <c r="Z645" s="14"/>
    </row>
    <row r="646" ht="12.75" customHeight="1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>
        <f t="shared" ref="K646:L646" si="644">H646/12</f>
        <v>0</v>
      </c>
      <c r="L646" s="46">
        <f t="shared" si="644"/>
        <v>0</v>
      </c>
      <c r="M646" s="46"/>
      <c r="N646" s="46">
        <f t="shared" si="4"/>
        <v>0</v>
      </c>
      <c r="O646" s="46">
        <f t="shared" si="5"/>
        <v>0</v>
      </c>
      <c r="P646" s="46" t="str">
        <f t="shared" si="6"/>
        <v/>
      </c>
      <c r="Q646" s="46"/>
      <c r="R646" s="14"/>
      <c r="S646" s="14"/>
      <c r="T646" s="14"/>
      <c r="U646" s="14"/>
      <c r="V646" s="14"/>
      <c r="W646" s="14"/>
      <c r="X646" s="14"/>
      <c r="Y646" s="14"/>
      <c r="Z646" s="14"/>
    </row>
    <row r="647" ht="12.75" customHeight="1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>
        <f t="shared" ref="K647:L647" si="645">H647/12</f>
        <v>0</v>
      </c>
      <c r="L647" s="46">
        <f t="shared" si="645"/>
        <v>0</v>
      </c>
      <c r="M647" s="46"/>
      <c r="N647" s="46">
        <f t="shared" si="4"/>
        <v>0</v>
      </c>
      <c r="O647" s="46">
        <f t="shared" si="5"/>
        <v>0</v>
      </c>
      <c r="P647" s="46" t="str">
        <f t="shared" si="6"/>
        <v/>
      </c>
      <c r="Q647" s="46"/>
      <c r="R647" s="14"/>
      <c r="S647" s="14"/>
      <c r="T647" s="14"/>
      <c r="U647" s="14"/>
      <c r="V647" s="14"/>
      <c r="W647" s="14"/>
      <c r="X647" s="14"/>
      <c r="Y647" s="14"/>
      <c r="Z647" s="14"/>
    </row>
    <row r="648" ht="12.75" customHeight="1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>
        <f t="shared" ref="K648:L648" si="646">H648/12</f>
        <v>0</v>
      </c>
      <c r="L648" s="46">
        <f t="shared" si="646"/>
        <v>0</v>
      </c>
      <c r="M648" s="46"/>
      <c r="N648" s="46">
        <f t="shared" si="4"/>
        <v>0</v>
      </c>
      <c r="O648" s="46">
        <f t="shared" si="5"/>
        <v>0</v>
      </c>
      <c r="P648" s="46" t="str">
        <f t="shared" si="6"/>
        <v/>
      </c>
      <c r="Q648" s="46"/>
      <c r="R648" s="14"/>
      <c r="S648" s="14"/>
      <c r="T648" s="14"/>
      <c r="U648" s="14"/>
      <c r="V648" s="14"/>
      <c r="W648" s="14"/>
      <c r="X648" s="14"/>
      <c r="Y648" s="14"/>
      <c r="Z648" s="14"/>
    </row>
    <row r="649" ht="12.75" customHeight="1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>
        <f t="shared" ref="K649:L649" si="647">H649/12</f>
        <v>0</v>
      </c>
      <c r="L649" s="46">
        <f t="shared" si="647"/>
        <v>0</v>
      </c>
      <c r="M649" s="46"/>
      <c r="N649" s="46">
        <f t="shared" si="4"/>
        <v>0</v>
      </c>
      <c r="O649" s="46">
        <f t="shared" si="5"/>
        <v>0</v>
      </c>
      <c r="P649" s="46" t="str">
        <f t="shared" si="6"/>
        <v/>
      </c>
      <c r="Q649" s="46"/>
      <c r="R649" s="14"/>
      <c r="S649" s="14"/>
      <c r="T649" s="14"/>
      <c r="U649" s="14"/>
      <c r="V649" s="14"/>
      <c r="W649" s="14"/>
      <c r="X649" s="14"/>
      <c r="Y649" s="14"/>
      <c r="Z649" s="14"/>
    </row>
    <row r="650" ht="12.75" customHeight="1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>
        <f t="shared" ref="K650:L650" si="648">H650/12</f>
        <v>0</v>
      </c>
      <c r="L650" s="46">
        <f t="shared" si="648"/>
        <v>0</v>
      </c>
      <c r="M650" s="46"/>
      <c r="N650" s="46">
        <f t="shared" si="4"/>
        <v>0</v>
      </c>
      <c r="O650" s="46">
        <f t="shared" si="5"/>
        <v>0</v>
      </c>
      <c r="P650" s="46" t="str">
        <f t="shared" si="6"/>
        <v/>
      </c>
      <c r="Q650" s="46"/>
      <c r="R650" s="14"/>
      <c r="S650" s="14"/>
      <c r="T650" s="14"/>
      <c r="U650" s="14"/>
      <c r="V650" s="14"/>
      <c r="W650" s="14"/>
      <c r="X650" s="14"/>
      <c r="Y650" s="14"/>
      <c r="Z650" s="14"/>
    </row>
    <row r="651" ht="12.75" customHeight="1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>
        <f t="shared" ref="K651:L651" si="649">H651/12</f>
        <v>0</v>
      </c>
      <c r="L651" s="46">
        <f t="shared" si="649"/>
        <v>0</v>
      </c>
      <c r="M651" s="46"/>
      <c r="N651" s="46">
        <f t="shared" si="4"/>
        <v>0</v>
      </c>
      <c r="O651" s="46">
        <f t="shared" si="5"/>
        <v>0</v>
      </c>
      <c r="P651" s="46" t="str">
        <f t="shared" si="6"/>
        <v/>
      </c>
      <c r="Q651" s="46"/>
      <c r="R651" s="14"/>
      <c r="S651" s="14"/>
      <c r="T651" s="14"/>
      <c r="U651" s="14"/>
      <c r="V651" s="14"/>
      <c r="W651" s="14"/>
      <c r="X651" s="14"/>
      <c r="Y651" s="14"/>
      <c r="Z651" s="14"/>
    </row>
    <row r="652" ht="12.75" customHeight="1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>
        <f t="shared" ref="K652:L652" si="650">H652/12</f>
        <v>0</v>
      </c>
      <c r="L652" s="46">
        <f t="shared" si="650"/>
        <v>0</v>
      </c>
      <c r="M652" s="46"/>
      <c r="N652" s="46">
        <f t="shared" si="4"/>
        <v>0</v>
      </c>
      <c r="O652" s="46">
        <f t="shared" si="5"/>
        <v>0</v>
      </c>
      <c r="P652" s="46" t="str">
        <f t="shared" si="6"/>
        <v/>
      </c>
      <c r="Q652" s="46"/>
      <c r="R652" s="14"/>
      <c r="S652" s="14"/>
      <c r="T652" s="14"/>
      <c r="U652" s="14"/>
      <c r="V652" s="14"/>
      <c r="W652" s="14"/>
      <c r="X652" s="14"/>
      <c r="Y652" s="14"/>
      <c r="Z652" s="14"/>
    </row>
    <row r="653" ht="12.75" customHeight="1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>
        <f t="shared" ref="K653:L653" si="651">H653/12</f>
        <v>0</v>
      </c>
      <c r="L653" s="46">
        <f t="shared" si="651"/>
        <v>0</v>
      </c>
      <c r="M653" s="46"/>
      <c r="N653" s="46">
        <f t="shared" si="4"/>
        <v>0</v>
      </c>
      <c r="O653" s="46">
        <f t="shared" si="5"/>
        <v>0</v>
      </c>
      <c r="P653" s="46" t="str">
        <f t="shared" si="6"/>
        <v/>
      </c>
      <c r="Q653" s="46"/>
      <c r="R653" s="14"/>
      <c r="S653" s="14"/>
      <c r="T653" s="14"/>
      <c r="U653" s="14"/>
      <c r="V653" s="14"/>
      <c r="W653" s="14"/>
      <c r="X653" s="14"/>
      <c r="Y653" s="14"/>
      <c r="Z653" s="14"/>
    </row>
    <row r="654" ht="12.75" customHeight="1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>
        <f t="shared" ref="K654:L654" si="652">H654/12</f>
        <v>0</v>
      </c>
      <c r="L654" s="46">
        <f t="shared" si="652"/>
        <v>0</v>
      </c>
      <c r="M654" s="46"/>
      <c r="N654" s="46">
        <f t="shared" si="4"/>
        <v>0</v>
      </c>
      <c r="O654" s="46">
        <f t="shared" si="5"/>
        <v>0</v>
      </c>
      <c r="P654" s="46" t="str">
        <f t="shared" si="6"/>
        <v/>
      </c>
      <c r="Q654" s="46"/>
      <c r="R654" s="14"/>
      <c r="S654" s="14"/>
      <c r="T654" s="14"/>
      <c r="U654" s="14"/>
      <c r="V654" s="14"/>
      <c r="W654" s="14"/>
      <c r="X654" s="14"/>
      <c r="Y654" s="14"/>
      <c r="Z654" s="14"/>
    </row>
    <row r="655" ht="12.75" customHeight="1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>
        <f t="shared" ref="K655:L655" si="653">H655/12</f>
        <v>0</v>
      </c>
      <c r="L655" s="46">
        <f t="shared" si="653"/>
        <v>0</v>
      </c>
      <c r="M655" s="46"/>
      <c r="N655" s="46">
        <f t="shared" si="4"/>
        <v>0</v>
      </c>
      <c r="O655" s="46">
        <f t="shared" si="5"/>
        <v>0</v>
      </c>
      <c r="P655" s="46" t="str">
        <f t="shared" si="6"/>
        <v/>
      </c>
      <c r="Q655" s="46"/>
      <c r="R655" s="14"/>
      <c r="S655" s="14"/>
      <c r="T655" s="14"/>
      <c r="U655" s="14"/>
      <c r="V655" s="14"/>
      <c r="W655" s="14"/>
      <c r="X655" s="14"/>
      <c r="Y655" s="14"/>
      <c r="Z655" s="14"/>
    </row>
    <row r="656" ht="12.75" customHeight="1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>
        <f t="shared" ref="K656:L656" si="654">H656/12</f>
        <v>0</v>
      </c>
      <c r="L656" s="46">
        <f t="shared" si="654"/>
        <v>0</v>
      </c>
      <c r="M656" s="46"/>
      <c r="N656" s="46">
        <f t="shared" si="4"/>
        <v>0</v>
      </c>
      <c r="O656" s="46">
        <f t="shared" si="5"/>
        <v>0</v>
      </c>
      <c r="P656" s="46" t="str">
        <f t="shared" si="6"/>
        <v/>
      </c>
      <c r="Q656" s="46"/>
      <c r="R656" s="14"/>
      <c r="S656" s="14"/>
      <c r="T656" s="14"/>
      <c r="U656" s="14"/>
      <c r="V656" s="14"/>
      <c r="W656" s="14"/>
      <c r="X656" s="14"/>
      <c r="Y656" s="14"/>
      <c r="Z656" s="14"/>
    </row>
    <row r="657" ht="12.75" customHeight="1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>
        <f t="shared" ref="K657:L657" si="655">H657/12</f>
        <v>0</v>
      </c>
      <c r="L657" s="46">
        <f t="shared" si="655"/>
        <v>0</v>
      </c>
      <c r="M657" s="46"/>
      <c r="N657" s="46">
        <f t="shared" si="4"/>
        <v>0</v>
      </c>
      <c r="O657" s="46">
        <f t="shared" si="5"/>
        <v>0</v>
      </c>
      <c r="P657" s="46" t="str">
        <f t="shared" si="6"/>
        <v/>
      </c>
      <c r="Q657" s="46"/>
      <c r="R657" s="14"/>
      <c r="S657" s="14"/>
      <c r="T657" s="14"/>
      <c r="U657" s="14"/>
      <c r="V657" s="14"/>
      <c r="W657" s="14"/>
      <c r="X657" s="14"/>
      <c r="Y657" s="14"/>
      <c r="Z657" s="14"/>
    </row>
    <row r="658" ht="12.75" customHeight="1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>
        <f t="shared" ref="K658:L658" si="656">H658/12</f>
        <v>0</v>
      </c>
      <c r="L658" s="46">
        <f t="shared" si="656"/>
        <v>0</v>
      </c>
      <c r="M658" s="46"/>
      <c r="N658" s="46">
        <f t="shared" si="4"/>
        <v>0</v>
      </c>
      <c r="O658" s="46">
        <f t="shared" si="5"/>
        <v>0</v>
      </c>
      <c r="P658" s="46" t="str">
        <f t="shared" si="6"/>
        <v/>
      </c>
      <c r="Q658" s="46"/>
      <c r="R658" s="14"/>
      <c r="S658" s="14"/>
      <c r="T658" s="14"/>
      <c r="U658" s="14"/>
      <c r="V658" s="14"/>
      <c r="W658" s="14"/>
      <c r="X658" s="14"/>
      <c r="Y658" s="14"/>
      <c r="Z658" s="14"/>
    </row>
    <row r="659" ht="12.75" customHeight="1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>
        <f t="shared" ref="K659:L659" si="657">H659/12</f>
        <v>0</v>
      </c>
      <c r="L659" s="46">
        <f t="shared" si="657"/>
        <v>0</v>
      </c>
      <c r="M659" s="46"/>
      <c r="N659" s="46">
        <f t="shared" si="4"/>
        <v>0</v>
      </c>
      <c r="O659" s="46">
        <f t="shared" si="5"/>
        <v>0</v>
      </c>
      <c r="P659" s="46" t="str">
        <f t="shared" si="6"/>
        <v/>
      </c>
      <c r="Q659" s="46"/>
      <c r="R659" s="14"/>
      <c r="S659" s="14"/>
      <c r="T659" s="14"/>
      <c r="U659" s="14"/>
      <c r="V659" s="14"/>
      <c r="W659" s="14"/>
      <c r="X659" s="14"/>
      <c r="Y659" s="14"/>
      <c r="Z659" s="14"/>
    </row>
    <row r="660" ht="12.75" customHeight="1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>
        <f t="shared" ref="K660:L660" si="658">H660/12</f>
        <v>0</v>
      </c>
      <c r="L660" s="46">
        <f t="shared" si="658"/>
        <v>0</v>
      </c>
      <c r="M660" s="46"/>
      <c r="N660" s="46">
        <f t="shared" si="4"/>
        <v>0</v>
      </c>
      <c r="O660" s="46">
        <f t="shared" si="5"/>
        <v>0</v>
      </c>
      <c r="P660" s="46" t="str">
        <f t="shared" si="6"/>
        <v/>
      </c>
      <c r="Q660" s="46"/>
      <c r="R660" s="14"/>
      <c r="S660" s="14"/>
      <c r="T660" s="14"/>
      <c r="U660" s="14"/>
      <c r="V660" s="14"/>
      <c r="W660" s="14"/>
      <c r="X660" s="14"/>
      <c r="Y660" s="14"/>
      <c r="Z660" s="14"/>
    </row>
    <row r="661" ht="12.75" customHeight="1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>
        <f t="shared" ref="K661:L661" si="659">H661/12</f>
        <v>0</v>
      </c>
      <c r="L661" s="46">
        <f t="shared" si="659"/>
        <v>0</v>
      </c>
      <c r="M661" s="46"/>
      <c r="N661" s="46">
        <f t="shared" si="4"/>
        <v>0</v>
      </c>
      <c r="O661" s="46">
        <f t="shared" si="5"/>
        <v>0</v>
      </c>
      <c r="P661" s="46" t="str">
        <f t="shared" si="6"/>
        <v/>
      </c>
      <c r="Q661" s="46"/>
      <c r="R661" s="14"/>
      <c r="S661" s="14"/>
      <c r="T661" s="14"/>
      <c r="U661" s="14"/>
      <c r="V661" s="14"/>
      <c r="W661" s="14"/>
      <c r="X661" s="14"/>
      <c r="Y661" s="14"/>
      <c r="Z661" s="14"/>
    </row>
    <row r="662" ht="12.75" customHeight="1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>
        <f t="shared" ref="K662:L662" si="660">H662/12</f>
        <v>0</v>
      </c>
      <c r="L662" s="46">
        <f t="shared" si="660"/>
        <v>0</v>
      </c>
      <c r="M662" s="46"/>
      <c r="N662" s="46">
        <f t="shared" si="4"/>
        <v>0</v>
      </c>
      <c r="O662" s="46">
        <f t="shared" si="5"/>
        <v>0</v>
      </c>
      <c r="P662" s="46" t="str">
        <f t="shared" si="6"/>
        <v/>
      </c>
      <c r="Q662" s="46"/>
      <c r="R662" s="14"/>
      <c r="S662" s="14"/>
      <c r="T662" s="14"/>
      <c r="U662" s="14"/>
      <c r="V662" s="14"/>
      <c r="W662" s="14"/>
      <c r="X662" s="14"/>
      <c r="Y662" s="14"/>
      <c r="Z662" s="14"/>
    </row>
    <row r="663" ht="12.75" customHeight="1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>
        <f t="shared" ref="K663:L663" si="661">H663/12</f>
        <v>0</v>
      </c>
      <c r="L663" s="46">
        <f t="shared" si="661"/>
        <v>0</v>
      </c>
      <c r="M663" s="46"/>
      <c r="N663" s="46">
        <f t="shared" si="4"/>
        <v>0</v>
      </c>
      <c r="O663" s="46">
        <f t="shared" si="5"/>
        <v>0</v>
      </c>
      <c r="P663" s="46" t="str">
        <f t="shared" si="6"/>
        <v/>
      </c>
      <c r="Q663" s="46"/>
      <c r="R663" s="14"/>
      <c r="S663" s="14"/>
      <c r="T663" s="14"/>
      <c r="U663" s="14"/>
      <c r="V663" s="14"/>
      <c r="W663" s="14"/>
      <c r="X663" s="14"/>
      <c r="Y663" s="14"/>
      <c r="Z663" s="14"/>
    </row>
    <row r="664" ht="12.75" customHeight="1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>
        <f t="shared" ref="K664:L664" si="662">H664/12</f>
        <v>0</v>
      </c>
      <c r="L664" s="46">
        <f t="shared" si="662"/>
        <v>0</v>
      </c>
      <c r="M664" s="46"/>
      <c r="N664" s="46">
        <f t="shared" si="4"/>
        <v>0</v>
      </c>
      <c r="O664" s="46">
        <f t="shared" si="5"/>
        <v>0</v>
      </c>
      <c r="P664" s="46" t="str">
        <f t="shared" si="6"/>
        <v/>
      </c>
      <c r="Q664" s="46"/>
      <c r="R664" s="14"/>
      <c r="S664" s="14"/>
      <c r="T664" s="14"/>
      <c r="U664" s="14"/>
      <c r="V664" s="14"/>
      <c r="W664" s="14"/>
      <c r="X664" s="14"/>
      <c r="Y664" s="14"/>
      <c r="Z664" s="14"/>
    </row>
    <row r="665" ht="12.75" customHeight="1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>
        <f t="shared" ref="K665:L665" si="663">H665/12</f>
        <v>0</v>
      </c>
      <c r="L665" s="46">
        <f t="shared" si="663"/>
        <v>0</v>
      </c>
      <c r="M665" s="46"/>
      <c r="N665" s="46">
        <f t="shared" si="4"/>
        <v>0</v>
      </c>
      <c r="O665" s="46">
        <f t="shared" si="5"/>
        <v>0</v>
      </c>
      <c r="P665" s="46" t="str">
        <f t="shared" si="6"/>
        <v/>
      </c>
      <c r="Q665" s="46"/>
      <c r="R665" s="14"/>
      <c r="S665" s="14"/>
      <c r="T665" s="14"/>
      <c r="U665" s="14"/>
      <c r="V665" s="14"/>
      <c r="W665" s="14"/>
      <c r="X665" s="14"/>
      <c r="Y665" s="14"/>
      <c r="Z665" s="14"/>
    </row>
    <row r="666" ht="12.75" customHeight="1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>
        <f t="shared" ref="K666:L666" si="664">H666/12</f>
        <v>0</v>
      </c>
      <c r="L666" s="46">
        <f t="shared" si="664"/>
        <v>0</v>
      </c>
      <c r="M666" s="46"/>
      <c r="N666" s="46">
        <f t="shared" si="4"/>
        <v>0</v>
      </c>
      <c r="O666" s="46">
        <f t="shared" si="5"/>
        <v>0</v>
      </c>
      <c r="P666" s="46" t="str">
        <f t="shared" si="6"/>
        <v/>
      </c>
      <c r="Q666" s="46"/>
      <c r="R666" s="14"/>
      <c r="S666" s="14"/>
      <c r="T666" s="14"/>
      <c r="U666" s="14"/>
      <c r="V666" s="14"/>
      <c r="W666" s="14"/>
      <c r="X666" s="14"/>
      <c r="Y666" s="14"/>
      <c r="Z666" s="14"/>
    </row>
    <row r="667" ht="12.75" customHeight="1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>
        <f t="shared" ref="K667:L667" si="665">H667/12</f>
        <v>0</v>
      </c>
      <c r="L667" s="46">
        <f t="shared" si="665"/>
        <v>0</v>
      </c>
      <c r="M667" s="46"/>
      <c r="N667" s="46">
        <f t="shared" si="4"/>
        <v>0</v>
      </c>
      <c r="O667" s="46">
        <f t="shared" si="5"/>
        <v>0</v>
      </c>
      <c r="P667" s="46" t="str">
        <f t="shared" si="6"/>
        <v/>
      </c>
      <c r="Q667" s="46"/>
      <c r="R667" s="14"/>
      <c r="S667" s="14"/>
      <c r="T667" s="14"/>
      <c r="U667" s="14"/>
      <c r="V667" s="14"/>
      <c r="W667" s="14"/>
      <c r="X667" s="14"/>
      <c r="Y667" s="14"/>
      <c r="Z667" s="14"/>
    </row>
    <row r="668" ht="12.75" customHeight="1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>
        <f t="shared" ref="K668:L668" si="666">H668/12</f>
        <v>0</v>
      </c>
      <c r="L668" s="46">
        <f t="shared" si="666"/>
        <v>0</v>
      </c>
      <c r="M668" s="46"/>
      <c r="N668" s="46">
        <f t="shared" si="4"/>
        <v>0</v>
      </c>
      <c r="O668" s="46">
        <f t="shared" si="5"/>
        <v>0</v>
      </c>
      <c r="P668" s="46" t="str">
        <f t="shared" si="6"/>
        <v/>
      </c>
      <c r="Q668" s="46"/>
      <c r="R668" s="14"/>
      <c r="S668" s="14"/>
      <c r="T668" s="14"/>
      <c r="U668" s="14"/>
      <c r="V668" s="14"/>
      <c r="W668" s="14"/>
      <c r="X668" s="14"/>
      <c r="Y668" s="14"/>
      <c r="Z668" s="14"/>
    </row>
    <row r="669" ht="12.75" customHeight="1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>
        <f t="shared" ref="K669:L669" si="667">H669/12</f>
        <v>0</v>
      </c>
      <c r="L669" s="46">
        <f t="shared" si="667"/>
        <v>0</v>
      </c>
      <c r="M669" s="46"/>
      <c r="N669" s="46">
        <f t="shared" si="4"/>
        <v>0</v>
      </c>
      <c r="O669" s="46">
        <f t="shared" si="5"/>
        <v>0</v>
      </c>
      <c r="P669" s="46" t="str">
        <f t="shared" si="6"/>
        <v/>
      </c>
      <c r="Q669" s="46"/>
      <c r="R669" s="14"/>
      <c r="S669" s="14"/>
      <c r="T669" s="14"/>
      <c r="U669" s="14"/>
      <c r="V669" s="14"/>
      <c r="W669" s="14"/>
      <c r="X669" s="14"/>
      <c r="Y669" s="14"/>
      <c r="Z669" s="14"/>
    </row>
    <row r="670" ht="12.75" customHeight="1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>
        <f t="shared" ref="K670:L670" si="668">H670/12</f>
        <v>0</v>
      </c>
      <c r="L670" s="46">
        <f t="shared" si="668"/>
        <v>0</v>
      </c>
      <c r="M670" s="46"/>
      <c r="N670" s="46">
        <f t="shared" si="4"/>
        <v>0</v>
      </c>
      <c r="O670" s="46">
        <f t="shared" si="5"/>
        <v>0</v>
      </c>
      <c r="P670" s="46" t="str">
        <f t="shared" si="6"/>
        <v/>
      </c>
      <c r="Q670" s="46"/>
      <c r="R670" s="14"/>
      <c r="S670" s="14"/>
      <c r="T670" s="14"/>
      <c r="U670" s="14"/>
      <c r="V670" s="14"/>
      <c r="W670" s="14"/>
      <c r="X670" s="14"/>
      <c r="Y670" s="14"/>
      <c r="Z670" s="14"/>
    </row>
    <row r="671" ht="12.75" customHeight="1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>
        <f t="shared" ref="K671:L671" si="669">H671/12</f>
        <v>0</v>
      </c>
      <c r="L671" s="46">
        <f t="shared" si="669"/>
        <v>0</v>
      </c>
      <c r="M671" s="46"/>
      <c r="N671" s="46">
        <f t="shared" si="4"/>
        <v>0</v>
      </c>
      <c r="O671" s="46">
        <f t="shared" si="5"/>
        <v>0</v>
      </c>
      <c r="P671" s="46" t="str">
        <f t="shared" si="6"/>
        <v/>
      </c>
      <c r="Q671" s="46"/>
      <c r="R671" s="14"/>
      <c r="S671" s="14"/>
      <c r="T671" s="14"/>
      <c r="U671" s="14"/>
      <c r="V671" s="14"/>
      <c r="W671" s="14"/>
      <c r="X671" s="14"/>
      <c r="Y671" s="14"/>
      <c r="Z671" s="14"/>
    </row>
    <row r="672" ht="12.75" customHeight="1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>
        <f t="shared" ref="K672:L672" si="670">H672/12</f>
        <v>0</v>
      </c>
      <c r="L672" s="46">
        <f t="shared" si="670"/>
        <v>0</v>
      </c>
      <c r="M672" s="46"/>
      <c r="N672" s="46">
        <f t="shared" si="4"/>
        <v>0</v>
      </c>
      <c r="O672" s="46">
        <f t="shared" si="5"/>
        <v>0</v>
      </c>
      <c r="P672" s="46" t="str">
        <f t="shared" si="6"/>
        <v/>
      </c>
      <c r="Q672" s="46"/>
      <c r="R672" s="14"/>
      <c r="S672" s="14"/>
      <c r="T672" s="14"/>
      <c r="U672" s="14"/>
      <c r="V672" s="14"/>
      <c r="W672" s="14"/>
      <c r="X672" s="14"/>
      <c r="Y672" s="14"/>
      <c r="Z672" s="14"/>
    </row>
    <row r="673" ht="12.75" customHeight="1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>
        <f t="shared" ref="K673:L673" si="671">H673/12</f>
        <v>0</v>
      </c>
      <c r="L673" s="46">
        <f t="shared" si="671"/>
        <v>0</v>
      </c>
      <c r="M673" s="46"/>
      <c r="N673" s="46">
        <f t="shared" si="4"/>
        <v>0</v>
      </c>
      <c r="O673" s="46">
        <f t="shared" si="5"/>
        <v>0</v>
      </c>
      <c r="P673" s="46" t="str">
        <f t="shared" si="6"/>
        <v/>
      </c>
      <c r="Q673" s="46"/>
      <c r="R673" s="14"/>
      <c r="S673" s="14"/>
      <c r="T673" s="14"/>
      <c r="U673" s="14"/>
      <c r="V673" s="14"/>
      <c r="W673" s="14"/>
      <c r="X673" s="14"/>
      <c r="Y673" s="14"/>
      <c r="Z673" s="14"/>
    </row>
    <row r="674" ht="12.75" customHeight="1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>
        <f t="shared" ref="K674:L674" si="672">H674/12</f>
        <v>0</v>
      </c>
      <c r="L674" s="46">
        <f t="shared" si="672"/>
        <v>0</v>
      </c>
      <c r="M674" s="46"/>
      <c r="N674" s="46">
        <f t="shared" si="4"/>
        <v>0</v>
      </c>
      <c r="O674" s="46">
        <f t="shared" si="5"/>
        <v>0</v>
      </c>
      <c r="P674" s="46" t="str">
        <f t="shared" si="6"/>
        <v/>
      </c>
      <c r="Q674" s="46"/>
      <c r="R674" s="14"/>
      <c r="S674" s="14"/>
      <c r="T674" s="14"/>
      <c r="U674" s="14"/>
      <c r="V674" s="14"/>
      <c r="W674" s="14"/>
      <c r="X674" s="14"/>
      <c r="Y674" s="14"/>
      <c r="Z674" s="14"/>
    </row>
    <row r="675" ht="12.75" customHeight="1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>
        <f t="shared" ref="K675:L675" si="673">H675/12</f>
        <v>0</v>
      </c>
      <c r="L675" s="46">
        <f t="shared" si="673"/>
        <v>0</v>
      </c>
      <c r="M675" s="46"/>
      <c r="N675" s="46">
        <f t="shared" si="4"/>
        <v>0</v>
      </c>
      <c r="O675" s="46">
        <f t="shared" si="5"/>
        <v>0</v>
      </c>
      <c r="P675" s="46" t="str">
        <f t="shared" si="6"/>
        <v/>
      </c>
      <c r="Q675" s="46"/>
      <c r="R675" s="14"/>
      <c r="S675" s="14"/>
      <c r="T675" s="14"/>
      <c r="U675" s="14"/>
      <c r="V675" s="14"/>
      <c r="W675" s="14"/>
      <c r="X675" s="14"/>
      <c r="Y675" s="14"/>
      <c r="Z675" s="14"/>
    </row>
    <row r="676" ht="12.75" customHeight="1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>
        <f t="shared" ref="K676:L676" si="674">H676/12</f>
        <v>0</v>
      </c>
      <c r="L676" s="46">
        <f t="shared" si="674"/>
        <v>0</v>
      </c>
      <c r="M676" s="46"/>
      <c r="N676" s="46">
        <f t="shared" si="4"/>
        <v>0</v>
      </c>
      <c r="O676" s="46">
        <f t="shared" si="5"/>
        <v>0</v>
      </c>
      <c r="P676" s="46" t="str">
        <f t="shared" si="6"/>
        <v/>
      </c>
      <c r="Q676" s="46"/>
      <c r="R676" s="14"/>
      <c r="S676" s="14"/>
      <c r="T676" s="14"/>
      <c r="U676" s="14"/>
      <c r="V676" s="14"/>
      <c r="W676" s="14"/>
      <c r="X676" s="14"/>
      <c r="Y676" s="14"/>
      <c r="Z676" s="14"/>
    </row>
    <row r="677" ht="12.75" customHeight="1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>
        <f t="shared" ref="K677:L677" si="675">H677/12</f>
        <v>0</v>
      </c>
      <c r="L677" s="46">
        <f t="shared" si="675"/>
        <v>0</v>
      </c>
      <c r="M677" s="46"/>
      <c r="N677" s="46">
        <f t="shared" si="4"/>
        <v>0</v>
      </c>
      <c r="O677" s="46">
        <f t="shared" si="5"/>
        <v>0</v>
      </c>
      <c r="P677" s="46" t="str">
        <f t="shared" si="6"/>
        <v/>
      </c>
      <c r="Q677" s="46"/>
      <c r="R677" s="14"/>
      <c r="S677" s="14"/>
      <c r="T677" s="14"/>
      <c r="U677" s="14"/>
      <c r="V677" s="14"/>
      <c r="W677" s="14"/>
      <c r="X677" s="14"/>
      <c r="Y677" s="14"/>
      <c r="Z677" s="14"/>
    </row>
    <row r="678" ht="12.75" customHeight="1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>
        <f t="shared" ref="K678:L678" si="676">H678/12</f>
        <v>0</v>
      </c>
      <c r="L678" s="46">
        <f t="shared" si="676"/>
        <v>0</v>
      </c>
      <c r="M678" s="46"/>
      <c r="N678" s="46">
        <f t="shared" si="4"/>
        <v>0</v>
      </c>
      <c r="O678" s="46">
        <f t="shared" si="5"/>
        <v>0</v>
      </c>
      <c r="P678" s="46" t="str">
        <f t="shared" si="6"/>
        <v/>
      </c>
      <c r="Q678" s="46"/>
      <c r="R678" s="14"/>
      <c r="S678" s="14"/>
      <c r="T678" s="14"/>
      <c r="U678" s="14"/>
      <c r="V678" s="14"/>
      <c r="W678" s="14"/>
      <c r="X678" s="14"/>
      <c r="Y678" s="14"/>
      <c r="Z678" s="14"/>
    </row>
    <row r="679" ht="12.75" customHeight="1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>
        <f t="shared" ref="K679:L679" si="677">H679/12</f>
        <v>0</v>
      </c>
      <c r="L679" s="46">
        <f t="shared" si="677"/>
        <v>0</v>
      </c>
      <c r="M679" s="46"/>
      <c r="N679" s="46">
        <f t="shared" si="4"/>
        <v>0</v>
      </c>
      <c r="O679" s="46">
        <f t="shared" si="5"/>
        <v>0</v>
      </c>
      <c r="P679" s="46" t="str">
        <f t="shared" si="6"/>
        <v/>
      </c>
      <c r="Q679" s="46"/>
      <c r="R679" s="14"/>
      <c r="S679" s="14"/>
      <c r="T679" s="14"/>
      <c r="U679" s="14"/>
      <c r="V679" s="14"/>
      <c r="W679" s="14"/>
      <c r="X679" s="14"/>
      <c r="Y679" s="14"/>
      <c r="Z679" s="14"/>
    </row>
    <row r="680" ht="12.75" customHeight="1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>
        <f t="shared" ref="K680:L680" si="678">H680/12</f>
        <v>0</v>
      </c>
      <c r="L680" s="46">
        <f t="shared" si="678"/>
        <v>0</v>
      </c>
      <c r="M680" s="46"/>
      <c r="N680" s="46">
        <f t="shared" si="4"/>
        <v>0</v>
      </c>
      <c r="O680" s="46">
        <f t="shared" si="5"/>
        <v>0</v>
      </c>
      <c r="P680" s="46" t="str">
        <f t="shared" si="6"/>
        <v/>
      </c>
      <c r="Q680" s="46"/>
      <c r="R680" s="14"/>
      <c r="S680" s="14"/>
      <c r="T680" s="14"/>
      <c r="U680" s="14"/>
      <c r="V680" s="14"/>
      <c r="W680" s="14"/>
      <c r="X680" s="14"/>
      <c r="Y680" s="14"/>
      <c r="Z680" s="14"/>
    </row>
    <row r="681" ht="12.75" customHeight="1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>
        <f t="shared" ref="K681:L681" si="679">H681/12</f>
        <v>0</v>
      </c>
      <c r="L681" s="46">
        <f t="shared" si="679"/>
        <v>0</v>
      </c>
      <c r="M681" s="46"/>
      <c r="N681" s="46">
        <f t="shared" si="4"/>
        <v>0</v>
      </c>
      <c r="O681" s="46">
        <f t="shared" si="5"/>
        <v>0</v>
      </c>
      <c r="P681" s="46" t="str">
        <f t="shared" si="6"/>
        <v/>
      </c>
      <c r="Q681" s="46"/>
      <c r="R681" s="14"/>
      <c r="S681" s="14"/>
      <c r="T681" s="14"/>
      <c r="U681" s="14"/>
      <c r="V681" s="14"/>
      <c r="W681" s="14"/>
      <c r="X681" s="14"/>
      <c r="Y681" s="14"/>
      <c r="Z681" s="14"/>
    </row>
    <row r="682" ht="12.75" customHeight="1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>
        <f t="shared" ref="K682:L682" si="680">H682/12</f>
        <v>0</v>
      </c>
      <c r="L682" s="46">
        <f t="shared" si="680"/>
        <v>0</v>
      </c>
      <c r="M682" s="46"/>
      <c r="N682" s="46">
        <f t="shared" si="4"/>
        <v>0</v>
      </c>
      <c r="O682" s="46">
        <f t="shared" si="5"/>
        <v>0</v>
      </c>
      <c r="P682" s="46" t="str">
        <f t="shared" si="6"/>
        <v/>
      </c>
      <c r="Q682" s="46"/>
      <c r="R682" s="14"/>
      <c r="S682" s="14"/>
      <c r="T682" s="14"/>
      <c r="U682" s="14"/>
      <c r="V682" s="14"/>
      <c r="W682" s="14"/>
      <c r="X682" s="14"/>
      <c r="Y682" s="14"/>
      <c r="Z682" s="14"/>
    </row>
    <row r="683" ht="12.75" customHeight="1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>
        <f t="shared" ref="K683:L683" si="681">H683/12</f>
        <v>0</v>
      </c>
      <c r="L683" s="46">
        <f t="shared" si="681"/>
        <v>0</v>
      </c>
      <c r="M683" s="46"/>
      <c r="N683" s="46">
        <f t="shared" si="4"/>
        <v>0</v>
      </c>
      <c r="O683" s="46">
        <f t="shared" si="5"/>
        <v>0</v>
      </c>
      <c r="P683" s="46" t="str">
        <f t="shared" si="6"/>
        <v/>
      </c>
      <c r="Q683" s="46"/>
      <c r="R683" s="14"/>
      <c r="S683" s="14"/>
      <c r="T683" s="14"/>
      <c r="U683" s="14"/>
      <c r="V683" s="14"/>
      <c r="W683" s="14"/>
      <c r="X683" s="14"/>
      <c r="Y683" s="14"/>
      <c r="Z683" s="14"/>
    </row>
    <row r="684" ht="12.75" customHeight="1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>
        <f t="shared" ref="K684:L684" si="682">H684/12</f>
        <v>0</v>
      </c>
      <c r="L684" s="46">
        <f t="shared" si="682"/>
        <v>0</v>
      </c>
      <c r="M684" s="46"/>
      <c r="N684" s="46">
        <f t="shared" si="4"/>
        <v>0</v>
      </c>
      <c r="O684" s="46">
        <f t="shared" si="5"/>
        <v>0</v>
      </c>
      <c r="P684" s="46" t="str">
        <f t="shared" si="6"/>
        <v/>
      </c>
      <c r="Q684" s="46"/>
      <c r="R684" s="14"/>
      <c r="S684" s="14"/>
      <c r="T684" s="14"/>
      <c r="U684" s="14"/>
      <c r="V684" s="14"/>
      <c r="W684" s="14"/>
      <c r="X684" s="14"/>
      <c r="Y684" s="14"/>
      <c r="Z684" s="14"/>
    </row>
    <row r="685" ht="12.75" customHeight="1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>
        <f t="shared" ref="K685:L685" si="683">H685/12</f>
        <v>0</v>
      </c>
      <c r="L685" s="46">
        <f t="shared" si="683"/>
        <v>0</v>
      </c>
      <c r="M685" s="46"/>
      <c r="N685" s="46">
        <f t="shared" si="4"/>
        <v>0</v>
      </c>
      <c r="O685" s="46">
        <f t="shared" si="5"/>
        <v>0</v>
      </c>
      <c r="P685" s="46" t="str">
        <f t="shared" si="6"/>
        <v/>
      </c>
      <c r="Q685" s="46"/>
      <c r="R685" s="14"/>
      <c r="S685" s="14"/>
      <c r="T685" s="14"/>
      <c r="U685" s="14"/>
      <c r="V685" s="14"/>
      <c r="W685" s="14"/>
      <c r="X685" s="14"/>
      <c r="Y685" s="14"/>
      <c r="Z685" s="14"/>
    </row>
    <row r="686" ht="12.75" customHeight="1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>
        <f t="shared" ref="K686:L686" si="684">H686/12</f>
        <v>0</v>
      </c>
      <c r="L686" s="46">
        <f t="shared" si="684"/>
        <v>0</v>
      </c>
      <c r="M686" s="46"/>
      <c r="N686" s="46">
        <f t="shared" si="4"/>
        <v>0</v>
      </c>
      <c r="O686" s="46">
        <f t="shared" si="5"/>
        <v>0</v>
      </c>
      <c r="P686" s="46" t="str">
        <f t="shared" si="6"/>
        <v/>
      </c>
      <c r="Q686" s="46"/>
      <c r="R686" s="14"/>
      <c r="S686" s="14"/>
      <c r="T686" s="14"/>
      <c r="U686" s="14"/>
      <c r="V686" s="14"/>
      <c r="W686" s="14"/>
      <c r="X686" s="14"/>
      <c r="Y686" s="14"/>
      <c r="Z686" s="14"/>
    </row>
    <row r="687" ht="12.75" customHeight="1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>
        <f t="shared" ref="K687:L687" si="685">H687/12</f>
        <v>0</v>
      </c>
      <c r="L687" s="46">
        <f t="shared" si="685"/>
        <v>0</v>
      </c>
      <c r="M687" s="46"/>
      <c r="N687" s="46">
        <f t="shared" si="4"/>
        <v>0</v>
      </c>
      <c r="O687" s="46">
        <f t="shared" si="5"/>
        <v>0</v>
      </c>
      <c r="P687" s="46" t="str">
        <f t="shared" si="6"/>
        <v/>
      </c>
      <c r="Q687" s="46"/>
      <c r="R687" s="14"/>
      <c r="S687" s="14"/>
      <c r="T687" s="14"/>
      <c r="U687" s="14"/>
      <c r="V687" s="14"/>
      <c r="W687" s="14"/>
      <c r="X687" s="14"/>
      <c r="Y687" s="14"/>
      <c r="Z687" s="14"/>
    </row>
    <row r="688" ht="12.75" customHeight="1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>
        <f t="shared" ref="K688:L688" si="686">H688/12</f>
        <v>0</v>
      </c>
      <c r="L688" s="46">
        <f t="shared" si="686"/>
        <v>0</v>
      </c>
      <c r="M688" s="46"/>
      <c r="N688" s="46">
        <f t="shared" si="4"/>
        <v>0</v>
      </c>
      <c r="O688" s="46">
        <f t="shared" si="5"/>
        <v>0</v>
      </c>
      <c r="P688" s="46" t="str">
        <f t="shared" si="6"/>
        <v/>
      </c>
      <c r="Q688" s="46"/>
      <c r="R688" s="14"/>
      <c r="S688" s="14"/>
      <c r="T688" s="14"/>
      <c r="U688" s="14"/>
      <c r="V688" s="14"/>
      <c r="W688" s="14"/>
      <c r="X688" s="14"/>
      <c r="Y688" s="14"/>
      <c r="Z688" s="14"/>
    </row>
    <row r="689" ht="12.75" customHeight="1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>
        <f t="shared" ref="K689:L689" si="687">H689/12</f>
        <v>0</v>
      </c>
      <c r="L689" s="46">
        <f t="shared" si="687"/>
        <v>0</v>
      </c>
      <c r="M689" s="46"/>
      <c r="N689" s="46">
        <f t="shared" si="4"/>
        <v>0</v>
      </c>
      <c r="O689" s="46">
        <f t="shared" si="5"/>
        <v>0</v>
      </c>
      <c r="P689" s="46" t="str">
        <f t="shared" si="6"/>
        <v/>
      </c>
      <c r="Q689" s="46"/>
      <c r="R689" s="14"/>
      <c r="S689" s="14"/>
      <c r="T689" s="14"/>
      <c r="U689" s="14"/>
      <c r="V689" s="14"/>
      <c r="W689" s="14"/>
      <c r="X689" s="14"/>
      <c r="Y689" s="14"/>
      <c r="Z689" s="14"/>
    </row>
    <row r="690" ht="12.75" customHeight="1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>
        <f t="shared" ref="K690:L690" si="688">H690/12</f>
        <v>0</v>
      </c>
      <c r="L690" s="46">
        <f t="shared" si="688"/>
        <v>0</v>
      </c>
      <c r="M690" s="46"/>
      <c r="N690" s="46">
        <f t="shared" si="4"/>
        <v>0</v>
      </c>
      <c r="O690" s="46">
        <f t="shared" si="5"/>
        <v>0</v>
      </c>
      <c r="P690" s="46" t="str">
        <f t="shared" si="6"/>
        <v/>
      </c>
      <c r="Q690" s="46"/>
      <c r="R690" s="14"/>
      <c r="S690" s="14"/>
      <c r="T690" s="14"/>
      <c r="U690" s="14"/>
      <c r="V690" s="14"/>
      <c r="W690" s="14"/>
      <c r="X690" s="14"/>
      <c r="Y690" s="14"/>
      <c r="Z690" s="14"/>
    </row>
    <row r="691" ht="12.75" customHeight="1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>
        <f t="shared" ref="K691:L691" si="689">H691/12</f>
        <v>0</v>
      </c>
      <c r="L691" s="46">
        <f t="shared" si="689"/>
        <v>0</v>
      </c>
      <c r="M691" s="46"/>
      <c r="N691" s="46">
        <f t="shared" si="4"/>
        <v>0</v>
      </c>
      <c r="O691" s="46">
        <f t="shared" si="5"/>
        <v>0</v>
      </c>
      <c r="P691" s="46" t="str">
        <f t="shared" si="6"/>
        <v/>
      </c>
      <c r="Q691" s="46"/>
      <c r="R691" s="14"/>
      <c r="S691" s="14"/>
      <c r="T691" s="14"/>
      <c r="U691" s="14"/>
      <c r="V691" s="14"/>
      <c r="W691" s="14"/>
      <c r="X691" s="14"/>
      <c r="Y691" s="14"/>
      <c r="Z691" s="14"/>
    </row>
    <row r="692" ht="12.75" customHeight="1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>
        <f t="shared" ref="K692:L692" si="690">H692/12</f>
        <v>0</v>
      </c>
      <c r="L692" s="46">
        <f t="shared" si="690"/>
        <v>0</v>
      </c>
      <c r="M692" s="46"/>
      <c r="N692" s="46">
        <f t="shared" si="4"/>
        <v>0</v>
      </c>
      <c r="O692" s="46">
        <f t="shared" si="5"/>
        <v>0</v>
      </c>
      <c r="P692" s="46" t="str">
        <f t="shared" si="6"/>
        <v/>
      </c>
      <c r="Q692" s="46"/>
      <c r="R692" s="14"/>
      <c r="S692" s="14"/>
      <c r="T692" s="14"/>
      <c r="U692" s="14"/>
      <c r="V692" s="14"/>
      <c r="W692" s="14"/>
      <c r="X692" s="14"/>
      <c r="Y692" s="14"/>
      <c r="Z692" s="14"/>
    </row>
    <row r="693" ht="12.75" customHeight="1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>
        <f t="shared" ref="K693:L693" si="691">H693/12</f>
        <v>0</v>
      </c>
      <c r="L693" s="46">
        <f t="shared" si="691"/>
        <v>0</v>
      </c>
      <c r="M693" s="46"/>
      <c r="N693" s="46">
        <f t="shared" si="4"/>
        <v>0</v>
      </c>
      <c r="O693" s="46">
        <f t="shared" si="5"/>
        <v>0</v>
      </c>
      <c r="P693" s="46" t="str">
        <f t="shared" si="6"/>
        <v/>
      </c>
      <c r="Q693" s="46"/>
      <c r="R693" s="14"/>
      <c r="S693" s="14"/>
      <c r="T693" s="14"/>
      <c r="U693" s="14"/>
      <c r="V693" s="14"/>
      <c r="W693" s="14"/>
      <c r="X693" s="14"/>
      <c r="Y693" s="14"/>
      <c r="Z693" s="14"/>
    </row>
    <row r="694" ht="12.75" customHeight="1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>
        <f t="shared" ref="K694:L694" si="692">H694/12</f>
        <v>0</v>
      </c>
      <c r="L694" s="46">
        <f t="shared" si="692"/>
        <v>0</v>
      </c>
      <c r="M694" s="46"/>
      <c r="N694" s="46">
        <f t="shared" si="4"/>
        <v>0</v>
      </c>
      <c r="O694" s="46">
        <f t="shared" si="5"/>
        <v>0</v>
      </c>
      <c r="P694" s="46" t="str">
        <f t="shared" si="6"/>
        <v/>
      </c>
      <c r="Q694" s="46"/>
      <c r="R694" s="14"/>
      <c r="S694" s="14"/>
      <c r="T694" s="14"/>
      <c r="U694" s="14"/>
      <c r="V694" s="14"/>
      <c r="W694" s="14"/>
      <c r="X694" s="14"/>
      <c r="Y694" s="14"/>
      <c r="Z694" s="14"/>
    </row>
    <row r="695" ht="12.75" customHeight="1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>
        <f t="shared" ref="K695:L695" si="693">H695/12</f>
        <v>0</v>
      </c>
      <c r="L695" s="46">
        <f t="shared" si="693"/>
        <v>0</v>
      </c>
      <c r="M695" s="46"/>
      <c r="N695" s="46">
        <f t="shared" si="4"/>
        <v>0</v>
      </c>
      <c r="O695" s="46">
        <f t="shared" si="5"/>
        <v>0</v>
      </c>
      <c r="P695" s="46" t="str">
        <f t="shared" si="6"/>
        <v/>
      </c>
      <c r="Q695" s="46"/>
      <c r="R695" s="14"/>
      <c r="S695" s="14"/>
      <c r="T695" s="14"/>
      <c r="U695" s="14"/>
      <c r="V695" s="14"/>
      <c r="W695" s="14"/>
      <c r="X695" s="14"/>
      <c r="Y695" s="14"/>
      <c r="Z695" s="14"/>
    </row>
    <row r="696" ht="12.75" customHeight="1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>
        <f t="shared" ref="K696:L696" si="694">H696/12</f>
        <v>0</v>
      </c>
      <c r="L696" s="46">
        <f t="shared" si="694"/>
        <v>0</v>
      </c>
      <c r="M696" s="46"/>
      <c r="N696" s="46">
        <f t="shared" si="4"/>
        <v>0</v>
      </c>
      <c r="O696" s="46">
        <f t="shared" si="5"/>
        <v>0</v>
      </c>
      <c r="P696" s="46" t="str">
        <f t="shared" si="6"/>
        <v/>
      </c>
      <c r="Q696" s="46"/>
      <c r="R696" s="14"/>
      <c r="S696" s="14"/>
      <c r="T696" s="14"/>
      <c r="U696" s="14"/>
      <c r="V696" s="14"/>
      <c r="W696" s="14"/>
      <c r="X696" s="14"/>
      <c r="Y696" s="14"/>
      <c r="Z696" s="14"/>
    </row>
    <row r="697" ht="12.75" customHeight="1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>
        <f t="shared" ref="K697:L697" si="695">H697/12</f>
        <v>0</v>
      </c>
      <c r="L697" s="46">
        <f t="shared" si="695"/>
        <v>0</v>
      </c>
      <c r="M697" s="46"/>
      <c r="N697" s="46">
        <f t="shared" si="4"/>
        <v>0</v>
      </c>
      <c r="O697" s="46">
        <f t="shared" si="5"/>
        <v>0</v>
      </c>
      <c r="P697" s="46" t="str">
        <f t="shared" si="6"/>
        <v/>
      </c>
      <c r="Q697" s="46"/>
      <c r="R697" s="14"/>
      <c r="S697" s="14"/>
      <c r="T697" s="14"/>
      <c r="U697" s="14"/>
      <c r="V697" s="14"/>
      <c r="W697" s="14"/>
      <c r="X697" s="14"/>
      <c r="Y697" s="14"/>
      <c r="Z697" s="14"/>
    </row>
    <row r="698" ht="12.75" customHeight="1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>
        <f t="shared" ref="K698:L698" si="696">H698/12</f>
        <v>0</v>
      </c>
      <c r="L698" s="46">
        <f t="shared" si="696"/>
        <v>0</v>
      </c>
      <c r="M698" s="46"/>
      <c r="N698" s="46">
        <f t="shared" si="4"/>
        <v>0</v>
      </c>
      <c r="O698" s="46">
        <f t="shared" si="5"/>
        <v>0</v>
      </c>
      <c r="P698" s="46" t="str">
        <f t="shared" si="6"/>
        <v/>
      </c>
      <c r="Q698" s="46"/>
      <c r="R698" s="14"/>
      <c r="S698" s="14"/>
      <c r="T698" s="14"/>
      <c r="U698" s="14"/>
      <c r="V698" s="14"/>
      <c r="W698" s="14"/>
      <c r="X698" s="14"/>
      <c r="Y698" s="14"/>
      <c r="Z698" s="14"/>
    </row>
    <row r="699" ht="12.75" customHeight="1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>
        <f t="shared" ref="K699:L699" si="697">H699/12</f>
        <v>0</v>
      </c>
      <c r="L699" s="46">
        <f t="shared" si="697"/>
        <v>0</v>
      </c>
      <c r="M699" s="46"/>
      <c r="N699" s="46">
        <f t="shared" si="4"/>
        <v>0</v>
      </c>
      <c r="O699" s="46">
        <f t="shared" si="5"/>
        <v>0</v>
      </c>
      <c r="P699" s="46" t="str">
        <f t="shared" si="6"/>
        <v/>
      </c>
      <c r="Q699" s="46"/>
      <c r="R699" s="14"/>
      <c r="S699" s="14"/>
      <c r="T699" s="14"/>
      <c r="U699" s="14"/>
      <c r="V699" s="14"/>
      <c r="W699" s="14"/>
      <c r="X699" s="14"/>
      <c r="Y699" s="14"/>
      <c r="Z699" s="14"/>
    </row>
    <row r="700" ht="12.75" customHeight="1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>
        <f t="shared" ref="K700:L700" si="698">H700/12</f>
        <v>0</v>
      </c>
      <c r="L700" s="46">
        <f t="shared" si="698"/>
        <v>0</v>
      </c>
      <c r="M700" s="46"/>
      <c r="N700" s="46">
        <f t="shared" si="4"/>
        <v>0</v>
      </c>
      <c r="O700" s="46">
        <f t="shared" si="5"/>
        <v>0</v>
      </c>
      <c r="P700" s="46" t="str">
        <f t="shared" si="6"/>
        <v/>
      </c>
      <c r="Q700" s="46"/>
      <c r="R700" s="14"/>
      <c r="S700" s="14"/>
      <c r="T700" s="14"/>
      <c r="U700" s="14"/>
      <c r="V700" s="14"/>
      <c r="W700" s="14"/>
      <c r="X700" s="14"/>
      <c r="Y700" s="14"/>
      <c r="Z700" s="14"/>
    </row>
    <row r="701" ht="12.75" customHeight="1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>
        <f t="shared" ref="K701:L701" si="699">H701/12</f>
        <v>0</v>
      </c>
      <c r="L701" s="46">
        <f t="shared" si="699"/>
        <v>0</v>
      </c>
      <c r="M701" s="46"/>
      <c r="N701" s="46">
        <f t="shared" si="4"/>
        <v>0</v>
      </c>
      <c r="O701" s="46">
        <f t="shared" si="5"/>
        <v>0</v>
      </c>
      <c r="P701" s="46" t="str">
        <f t="shared" si="6"/>
        <v/>
      </c>
      <c r="Q701" s="46"/>
      <c r="R701" s="14"/>
      <c r="S701" s="14"/>
      <c r="T701" s="14"/>
      <c r="U701" s="14"/>
      <c r="V701" s="14"/>
      <c r="W701" s="14"/>
      <c r="X701" s="14"/>
      <c r="Y701" s="14"/>
      <c r="Z701" s="14"/>
    </row>
    <row r="702" ht="12.75" customHeight="1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>
        <f t="shared" ref="K702:L702" si="700">H702/12</f>
        <v>0</v>
      </c>
      <c r="L702" s="46">
        <f t="shared" si="700"/>
        <v>0</v>
      </c>
      <c r="M702" s="46"/>
      <c r="N702" s="46">
        <f t="shared" si="4"/>
        <v>0</v>
      </c>
      <c r="O702" s="46">
        <f t="shared" si="5"/>
        <v>0</v>
      </c>
      <c r="P702" s="46" t="str">
        <f t="shared" si="6"/>
        <v/>
      </c>
      <c r="Q702" s="46"/>
      <c r="R702" s="14"/>
      <c r="S702" s="14"/>
      <c r="T702" s="14"/>
      <c r="U702" s="14"/>
      <c r="V702" s="14"/>
      <c r="W702" s="14"/>
      <c r="X702" s="14"/>
      <c r="Y702" s="14"/>
      <c r="Z702" s="14"/>
    </row>
    <row r="703" ht="12.75" customHeight="1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>
        <f t="shared" ref="K703:L703" si="701">H703/12</f>
        <v>0</v>
      </c>
      <c r="L703" s="46">
        <f t="shared" si="701"/>
        <v>0</v>
      </c>
      <c r="M703" s="46"/>
      <c r="N703" s="46">
        <f t="shared" si="4"/>
        <v>0</v>
      </c>
      <c r="O703" s="46">
        <f t="shared" si="5"/>
        <v>0</v>
      </c>
      <c r="P703" s="46" t="str">
        <f t="shared" si="6"/>
        <v/>
      </c>
      <c r="Q703" s="46"/>
      <c r="R703" s="14"/>
      <c r="S703" s="14"/>
      <c r="T703" s="14"/>
      <c r="U703" s="14"/>
      <c r="V703" s="14"/>
      <c r="W703" s="14"/>
      <c r="X703" s="14"/>
      <c r="Y703" s="14"/>
      <c r="Z703" s="14"/>
    </row>
    <row r="704" ht="12.75" customHeight="1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>
        <f t="shared" ref="K704:L704" si="702">H704/12</f>
        <v>0</v>
      </c>
      <c r="L704" s="46">
        <f t="shared" si="702"/>
        <v>0</v>
      </c>
      <c r="M704" s="46"/>
      <c r="N704" s="46">
        <f t="shared" si="4"/>
        <v>0</v>
      </c>
      <c r="O704" s="46">
        <f t="shared" si="5"/>
        <v>0</v>
      </c>
      <c r="P704" s="46" t="str">
        <f t="shared" si="6"/>
        <v/>
      </c>
      <c r="Q704" s="46"/>
      <c r="R704" s="14"/>
      <c r="S704" s="14"/>
      <c r="T704" s="14"/>
      <c r="U704" s="14"/>
      <c r="V704" s="14"/>
      <c r="W704" s="14"/>
      <c r="X704" s="14"/>
      <c r="Y704" s="14"/>
      <c r="Z704" s="14"/>
    </row>
    <row r="705" ht="12.75" customHeight="1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>
        <f t="shared" ref="K705:L705" si="703">H705/12</f>
        <v>0</v>
      </c>
      <c r="L705" s="46">
        <f t="shared" si="703"/>
        <v>0</v>
      </c>
      <c r="M705" s="46"/>
      <c r="N705" s="46">
        <f t="shared" si="4"/>
        <v>0</v>
      </c>
      <c r="O705" s="46">
        <f t="shared" si="5"/>
        <v>0</v>
      </c>
      <c r="P705" s="46" t="str">
        <f t="shared" si="6"/>
        <v/>
      </c>
      <c r="Q705" s="46"/>
      <c r="R705" s="14"/>
      <c r="S705" s="14"/>
      <c r="T705" s="14"/>
      <c r="U705" s="14"/>
      <c r="V705" s="14"/>
      <c r="W705" s="14"/>
      <c r="X705" s="14"/>
      <c r="Y705" s="14"/>
      <c r="Z705" s="14"/>
    </row>
    <row r="706" ht="12.75" customHeight="1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>
        <f t="shared" ref="K706:L706" si="704">H706/12</f>
        <v>0</v>
      </c>
      <c r="L706" s="46">
        <f t="shared" si="704"/>
        <v>0</v>
      </c>
      <c r="M706" s="46"/>
      <c r="N706" s="46">
        <f t="shared" si="4"/>
        <v>0</v>
      </c>
      <c r="O706" s="46">
        <f t="shared" si="5"/>
        <v>0</v>
      </c>
      <c r="P706" s="46" t="str">
        <f t="shared" si="6"/>
        <v/>
      </c>
      <c r="Q706" s="46"/>
      <c r="R706" s="14"/>
      <c r="S706" s="14"/>
      <c r="T706" s="14"/>
      <c r="U706" s="14"/>
      <c r="V706" s="14"/>
      <c r="W706" s="14"/>
      <c r="X706" s="14"/>
      <c r="Y706" s="14"/>
      <c r="Z706" s="14"/>
    </row>
    <row r="707" ht="12.75" customHeight="1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>
        <f t="shared" ref="K707:L707" si="705">H707/12</f>
        <v>0</v>
      </c>
      <c r="L707" s="46">
        <f t="shared" si="705"/>
        <v>0</v>
      </c>
      <c r="M707" s="46"/>
      <c r="N707" s="46">
        <f t="shared" si="4"/>
        <v>0</v>
      </c>
      <c r="O707" s="46">
        <f t="shared" si="5"/>
        <v>0</v>
      </c>
      <c r="P707" s="46" t="str">
        <f t="shared" si="6"/>
        <v/>
      </c>
      <c r="Q707" s="46"/>
      <c r="R707" s="14"/>
      <c r="S707" s="14"/>
      <c r="T707" s="14"/>
      <c r="U707" s="14"/>
      <c r="V707" s="14"/>
      <c r="W707" s="14"/>
      <c r="X707" s="14"/>
      <c r="Y707" s="14"/>
      <c r="Z707" s="14"/>
    </row>
    <row r="708" ht="12.75" customHeight="1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>
        <f t="shared" ref="K708:L708" si="706">H708/12</f>
        <v>0</v>
      </c>
      <c r="L708" s="46">
        <f t="shared" si="706"/>
        <v>0</v>
      </c>
      <c r="M708" s="46"/>
      <c r="N708" s="46">
        <f t="shared" si="4"/>
        <v>0</v>
      </c>
      <c r="O708" s="46">
        <f t="shared" si="5"/>
        <v>0</v>
      </c>
      <c r="P708" s="46" t="str">
        <f t="shared" si="6"/>
        <v/>
      </c>
      <c r="Q708" s="46"/>
      <c r="R708" s="14"/>
      <c r="S708" s="14"/>
      <c r="T708" s="14"/>
      <c r="U708" s="14"/>
      <c r="V708" s="14"/>
      <c r="W708" s="14"/>
      <c r="X708" s="14"/>
      <c r="Y708" s="14"/>
      <c r="Z708" s="14"/>
    </row>
    <row r="709" ht="12.75" customHeight="1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>
        <f t="shared" ref="K709:L709" si="707">H709/12</f>
        <v>0</v>
      </c>
      <c r="L709" s="46">
        <f t="shared" si="707"/>
        <v>0</v>
      </c>
      <c r="M709" s="46"/>
      <c r="N709" s="46">
        <f t="shared" si="4"/>
        <v>0</v>
      </c>
      <c r="O709" s="46">
        <f t="shared" si="5"/>
        <v>0</v>
      </c>
      <c r="P709" s="46" t="str">
        <f t="shared" si="6"/>
        <v/>
      </c>
      <c r="Q709" s="46"/>
      <c r="R709" s="14"/>
      <c r="S709" s="14"/>
      <c r="T709" s="14"/>
      <c r="U709" s="14"/>
      <c r="V709" s="14"/>
      <c r="W709" s="14"/>
      <c r="X709" s="14"/>
      <c r="Y709" s="14"/>
      <c r="Z709" s="14"/>
    </row>
    <row r="710" ht="12.75" customHeight="1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>
        <f t="shared" ref="K710:L710" si="708">H710/12</f>
        <v>0</v>
      </c>
      <c r="L710" s="46">
        <f t="shared" si="708"/>
        <v>0</v>
      </c>
      <c r="M710" s="46"/>
      <c r="N710" s="46">
        <f t="shared" si="4"/>
        <v>0</v>
      </c>
      <c r="O710" s="46">
        <f t="shared" si="5"/>
        <v>0</v>
      </c>
      <c r="P710" s="46" t="str">
        <f t="shared" si="6"/>
        <v/>
      </c>
      <c r="Q710" s="46"/>
      <c r="R710" s="14"/>
      <c r="S710" s="14"/>
      <c r="T710" s="14"/>
      <c r="U710" s="14"/>
      <c r="V710" s="14"/>
      <c r="W710" s="14"/>
      <c r="X710" s="14"/>
      <c r="Y710" s="14"/>
      <c r="Z710" s="14"/>
    </row>
    <row r="711" ht="12.75" customHeight="1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>
        <f t="shared" ref="K711:L711" si="709">H711/12</f>
        <v>0</v>
      </c>
      <c r="L711" s="46">
        <f t="shared" si="709"/>
        <v>0</v>
      </c>
      <c r="M711" s="46"/>
      <c r="N711" s="46">
        <f t="shared" si="4"/>
        <v>0</v>
      </c>
      <c r="O711" s="46">
        <f t="shared" si="5"/>
        <v>0</v>
      </c>
      <c r="P711" s="46" t="str">
        <f t="shared" si="6"/>
        <v/>
      </c>
      <c r="Q711" s="46"/>
      <c r="R711" s="14"/>
      <c r="S711" s="14"/>
      <c r="T711" s="14"/>
      <c r="U711" s="14"/>
      <c r="V711" s="14"/>
      <c r="W711" s="14"/>
      <c r="X711" s="14"/>
      <c r="Y711" s="14"/>
      <c r="Z711" s="14"/>
    </row>
    <row r="712" ht="12.75" customHeight="1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>
        <f t="shared" ref="K712:L712" si="710">H712/12</f>
        <v>0</v>
      </c>
      <c r="L712" s="46">
        <f t="shared" si="710"/>
        <v>0</v>
      </c>
      <c r="M712" s="46"/>
      <c r="N712" s="46">
        <f t="shared" si="4"/>
        <v>0</v>
      </c>
      <c r="O712" s="46">
        <f t="shared" si="5"/>
        <v>0</v>
      </c>
      <c r="P712" s="46" t="str">
        <f t="shared" si="6"/>
        <v/>
      </c>
      <c r="Q712" s="46"/>
      <c r="R712" s="14"/>
      <c r="S712" s="14"/>
      <c r="T712" s="14"/>
      <c r="U712" s="14"/>
      <c r="V712" s="14"/>
      <c r="W712" s="14"/>
      <c r="X712" s="14"/>
      <c r="Y712" s="14"/>
      <c r="Z712" s="14"/>
    </row>
    <row r="713" ht="12.75" customHeight="1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>
        <f t="shared" ref="K713:L713" si="711">H713/12</f>
        <v>0</v>
      </c>
      <c r="L713" s="46">
        <f t="shared" si="711"/>
        <v>0</v>
      </c>
      <c r="M713" s="46"/>
      <c r="N713" s="46">
        <f t="shared" si="4"/>
        <v>0</v>
      </c>
      <c r="O713" s="46">
        <f t="shared" si="5"/>
        <v>0</v>
      </c>
      <c r="P713" s="46" t="str">
        <f t="shared" si="6"/>
        <v/>
      </c>
      <c r="Q713" s="46"/>
      <c r="R713" s="14"/>
      <c r="S713" s="14"/>
      <c r="T713" s="14"/>
      <c r="U713" s="14"/>
      <c r="V713" s="14"/>
      <c r="W713" s="14"/>
      <c r="X713" s="14"/>
      <c r="Y713" s="14"/>
      <c r="Z713" s="14"/>
    </row>
    <row r="714" ht="12.75" customHeight="1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>
        <f t="shared" ref="K714:L714" si="712">H714/12</f>
        <v>0</v>
      </c>
      <c r="L714" s="46">
        <f t="shared" si="712"/>
        <v>0</v>
      </c>
      <c r="M714" s="46"/>
      <c r="N714" s="46">
        <f t="shared" si="4"/>
        <v>0</v>
      </c>
      <c r="O714" s="46">
        <f t="shared" si="5"/>
        <v>0</v>
      </c>
      <c r="P714" s="46" t="str">
        <f t="shared" si="6"/>
        <v/>
      </c>
      <c r="Q714" s="46"/>
      <c r="R714" s="14"/>
      <c r="S714" s="14"/>
      <c r="T714" s="14"/>
      <c r="U714" s="14"/>
      <c r="V714" s="14"/>
      <c r="W714" s="14"/>
      <c r="X714" s="14"/>
      <c r="Y714" s="14"/>
      <c r="Z714" s="14"/>
    </row>
    <row r="715" ht="12.75" customHeight="1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>
        <f t="shared" ref="K715:L715" si="713">H715/12</f>
        <v>0</v>
      </c>
      <c r="L715" s="46">
        <f t="shared" si="713"/>
        <v>0</v>
      </c>
      <c r="M715" s="46"/>
      <c r="N715" s="46">
        <f t="shared" si="4"/>
        <v>0</v>
      </c>
      <c r="O715" s="46">
        <f t="shared" si="5"/>
        <v>0</v>
      </c>
      <c r="P715" s="46" t="str">
        <f t="shared" si="6"/>
        <v/>
      </c>
      <c r="Q715" s="46"/>
      <c r="R715" s="14"/>
      <c r="S715" s="14"/>
      <c r="T715" s="14"/>
      <c r="U715" s="14"/>
      <c r="V715" s="14"/>
      <c r="W715" s="14"/>
      <c r="X715" s="14"/>
      <c r="Y715" s="14"/>
      <c r="Z715" s="14"/>
    </row>
    <row r="716" ht="12.75" customHeight="1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>
        <f t="shared" ref="K716:L716" si="714">H716/12</f>
        <v>0</v>
      </c>
      <c r="L716" s="46">
        <f t="shared" si="714"/>
        <v>0</v>
      </c>
      <c r="M716" s="46"/>
      <c r="N716" s="46">
        <f t="shared" si="4"/>
        <v>0</v>
      </c>
      <c r="O716" s="46">
        <f t="shared" si="5"/>
        <v>0</v>
      </c>
      <c r="P716" s="46" t="str">
        <f t="shared" si="6"/>
        <v/>
      </c>
      <c r="Q716" s="46"/>
      <c r="R716" s="14"/>
      <c r="S716" s="14"/>
      <c r="T716" s="14"/>
      <c r="U716" s="14"/>
      <c r="V716" s="14"/>
      <c r="W716" s="14"/>
      <c r="X716" s="14"/>
      <c r="Y716" s="14"/>
      <c r="Z716" s="14"/>
    </row>
    <row r="717" ht="12.75" customHeight="1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>
        <f t="shared" ref="K717:L717" si="715">H717/12</f>
        <v>0</v>
      </c>
      <c r="L717" s="46">
        <f t="shared" si="715"/>
        <v>0</v>
      </c>
      <c r="M717" s="46"/>
      <c r="N717" s="46">
        <f t="shared" si="4"/>
        <v>0</v>
      </c>
      <c r="O717" s="46">
        <f t="shared" si="5"/>
        <v>0</v>
      </c>
      <c r="P717" s="46" t="str">
        <f t="shared" si="6"/>
        <v/>
      </c>
      <c r="Q717" s="46"/>
      <c r="R717" s="14"/>
      <c r="S717" s="14"/>
      <c r="T717" s="14"/>
      <c r="U717" s="14"/>
      <c r="V717" s="14"/>
      <c r="W717" s="14"/>
      <c r="X717" s="14"/>
      <c r="Y717" s="14"/>
      <c r="Z717" s="14"/>
    </row>
    <row r="718" ht="12.75" customHeight="1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>
        <f t="shared" ref="K718:L718" si="716">H718/12</f>
        <v>0</v>
      </c>
      <c r="L718" s="46">
        <f t="shared" si="716"/>
        <v>0</v>
      </c>
      <c r="M718" s="46"/>
      <c r="N718" s="46">
        <f t="shared" si="4"/>
        <v>0</v>
      </c>
      <c r="O718" s="46">
        <f t="shared" si="5"/>
        <v>0</v>
      </c>
      <c r="P718" s="46" t="str">
        <f t="shared" si="6"/>
        <v/>
      </c>
      <c r="Q718" s="46"/>
      <c r="R718" s="14"/>
      <c r="S718" s="14"/>
      <c r="T718" s="14"/>
      <c r="U718" s="14"/>
      <c r="V718" s="14"/>
      <c r="W718" s="14"/>
      <c r="X718" s="14"/>
      <c r="Y718" s="14"/>
      <c r="Z718" s="14"/>
    </row>
    <row r="719" ht="12.75" customHeight="1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>
        <f t="shared" ref="K719:L719" si="717">H719/12</f>
        <v>0</v>
      </c>
      <c r="L719" s="46">
        <f t="shared" si="717"/>
        <v>0</v>
      </c>
      <c r="M719" s="46"/>
      <c r="N719" s="46">
        <f t="shared" si="4"/>
        <v>0</v>
      </c>
      <c r="O719" s="46">
        <f t="shared" si="5"/>
        <v>0</v>
      </c>
      <c r="P719" s="46" t="str">
        <f t="shared" si="6"/>
        <v/>
      </c>
      <c r="Q719" s="46"/>
      <c r="R719" s="14"/>
      <c r="S719" s="14"/>
      <c r="T719" s="14"/>
      <c r="U719" s="14"/>
      <c r="V719" s="14"/>
      <c r="W719" s="14"/>
      <c r="X719" s="14"/>
      <c r="Y719" s="14"/>
      <c r="Z719" s="14"/>
    </row>
    <row r="720" ht="12.75" customHeight="1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>
        <f t="shared" ref="K720:L720" si="718">H720/12</f>
        <v>0</v>
      </c>
      <c r="L720" s="46">
        <f t="shared" si="718"/>
        <v>0</v>
      </c>
      <c r="M720" s="46"/>
      <c r="N720" s="46">
        <f t="shared" si="4"/>
        <v>0</v>
      </c>
      <c r="O720" s="46">
        <f t="shared" si="5"/>
        <v>0</v>
      </c>
      <c r="P720" s="46" t="str">
        <f t="shared" si="6"/>
        <v/>
      </c>
      <c r="Q720" s="46"/>
      <c r="R720" s="14"/>
      <c r="S720" s="14"/>
      <c r="T720" s="14"/>
      <c r="U720" s="14"/>
      <c r="V720" s="14"/>
      <c r="W720" s="14"/>
      <c r="X720" s="14"/>
      <c r="Y720" s="14"/>
      <c r="Z720" s="14"/>
    </row>
    <row r="721" ht="12.75" customHeight="1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>
        <f t="shared" ref="K721:L721" si="719">H721/12</f>
        <v>0</v>
      </c>
      <c r="L721" s="46">
        <f t="shared" si="719"/>
        <v>0</v>
      </c>
      <c r="M721" s="46"/>
      <c r="N721" s="46">
        <f t="shared" si="4"/>
        <v>0</v>
      </c>
      <c r="O721" s="46">
        <f t="shared" si="5"/>
        <v>0</v>
      </c>
      <c r="P721" s="46" t="str">
        <f t="shared" si="6"/>
        <v/>
      </c>
      <c r="Q721" s="46"/>
      <c r="R721" s="14"/>
      <c r="S721" s="14"/>
      <c r="T721" s="14"/>
      <c r="U721" s="14"/>
      <c r="V721" s="14"/>
      <c r="W721" s="14"/>
      <c r="X721" s="14"/>
      <c r="Y721" s="14"/>
      <c r="Z721" s="14"/>
    </row>
    <row r="722" ht="12.75" customHeight="1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>
        <f t="shared" ref="K722:L722" si="720">H722/12</f>
        <v>0</v>
      </c>
      <c r="L722" s="46">
        <f t="shared" si="720"/>
        <v>0</v>
      </c>
      <c r="M722" s="46"/>
      <c r="N722" s="46">
        <f t="shared" si="4"/>
        <v>0</v>
      </c>
      <c r="O722" s="46">
        <f t="shared" si="5"/>
        <v>0</v>
      </c>
      <c r="P722" s="46" t="str">
        <f t="shared" si="6"/>
        <v/>
      </c>
      <c r="Q722" s="46"/>
      <c r="R722" s="14"/>
      <c r="S722" s="14"/>
      <c r="T722" s="14"/>
      <c r="U722" s="14"/>
      <c r="V722" s="14"/>
      <c r="W722" s="14"/>
      <c r="X722" s="14"/>
      <c r="Y722" s="14"/>
      <c r="Z722" s="14"/>
    </row>
    <row r="723" ht="12.75" customHeight="1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>
        <f t="shared" ref="K723:L723" si="721">H723/12</f>
        <v>0</v>
      </c>
      <c r="L723" s="46">
        <f t="shared" si="721"/>
        <v>0</v>
      </c>
      <c r="M723" s="46"/>
      <c r="N723" s="46">
        <f t="shared" si="4"/>
        <v>0</v>
      </c>
      <c r="O723" s="46">
        <f t="shared" si="5"/>
        <v>0</v>
      </c>
      <c r="P723" s="46" t="str">
        <f t="shared" si="6"/>
        <v/>
      </c>
      <c r="Q723" s="46"/>
      <c r="R723" s="14"/>
      <c r="S723" s="14"/>
      <c r="T723" s="14"/>
      <c r="U723" s="14"/>
      <c r="V723" s="14"/>
      <c r="W723" s="14"/>
      <c r="X723" s="14"/>
      <c r="Y723" s="14"/>
      <c r="Z723" s="14"/>
    </row>
    <row r="724" ht="12.75" customHeight="1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>
        <f t="shared" ref="K724:L724" si="722">H724/12</f>
        <v>0</v>
      </c>
      <c r="L724" s="46">
        <f t="shared" si="722"/>
        <v>0</v>
      </c>
      <c r="M724" s="46"/>
      <c r="N724" s="46">
        <f t="shared" si="4"/>
        <v>0</v>
      </c>
      <c r="O724" s="46">
        <f t="shared" si="5"/>
        <v>0</v>
      </c>
      <c r="P724" s="46" t="str">
        <f t="shared" si="6"/>
        <v/>
      </c>
      <c r="Q724" s="46"/>
      <c r="R724" s="14"/>
      <c r="S724" s="14"/>
      <c r="T724" s="14"/>
      <c r="U724" s="14"/>
      <c r="V724" s="14"/>
      <c r="W724" s="14"/>
      <c r="X724" s="14"/>
      <c r="Y724" s="14"/>
      <c r="Z724" s="14"/>
    </row>
    <row r="725" ht="12.75" customHeight="1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>
        <f t="shared" ref="K725:L725" si="723">H725/12</f>
        <v>0</v>
      </c>
      <c r="L725" s="46">
        <f t="shared" si="723"/>
        <v>0</v>
      </c>
      <c r="M725" s="46"/>
      <c r="N725" s="46">
        <f t="shared" si="4"/>
        <v>0</v>
      </c>
      <c r="O725" s="46">
        <f t="shared" si="5"/>
        <v>0</v>
      </c>
      <c r="P725" s="46" t="str">
        <f t="shared" si="6"/>
        <v/>
      </c>
      <c r="Q725" s="46"/>
      <c r="R725" s="14"/>
      <c r="S725" s="14"/>
      <c r="T725" s="14"/>
      <c r="U725" s="14"/>
      <c r="V725" s="14"/>
      <c r="W725" s="14"/>
      <c r="X725" s="14"/>
      <c r="Y725" s="14"/>
      <c r="Z725" s="14"/>
    </row>
    <row r="726" ht="12.75" customHeight="1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>
        <f t="shared" ref="K726:L726" si="724">H726/12</f>
        <v>0</v>
      </c>
      <c r="L726" s="46">
        <f t="shared" si="724"/>
        <v>0</v>
      </c>
      <c r="M726" s="46"/>
      <c r="N726" s="46">
        <f t="shared" si="4"/>
        <v>0</v>
      </c>
      <c r="O726" s="46">
        <f t="shared" si="5"/>
        <v>0</v>
      </c>
      <c r="P726" s="46" t="str">
        <f t="shared" si="6"/>
        <v/>
      </c>
      <c r="Q726" s="46"/>
      <c r="R726" s="14"/>
      <c r="S726" s="14"/>
      <c r="T726" s="14"/>
      <c r="U726" s="14"/>
      <c r="V726" s="14"/>
      <c r="W726" s="14"/>
      <c r="X726" s="14"/>
      <c r="Y726" s="14"/>
      <c r="Z726" s="14"/>
    </row>
    <row r="727" ht="12.75" customHeight="1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>
        <f t="shared" ref="K727:L727" si="725">H727/12</f>
        <v>0</v>
      </c>
      <c r="L727" s="46">
        <f t="shared" si="725"/>
        <v>0</v>
      </c>
      <c r="M727" s="46"/>
      <c r="N727" s="46">
        <f t="shared" si="4"/>
        <v>0</v>
      </c>
      <c r="O727" s="46">
        <f t="shared" si="5"/>
        <v>0</v>
      </c>
      <c r="P727" s="46" t="str">
        <f t="shared" si="6"/>
        <v/>
      </c>
      <c r="Q727" s="46"/>
      <c r="R727" s="14"/>
      <c r="S727" s="14"/>
      <c r="T727" s="14"/>
      <c r="U727" s="14"/>
      <c r="V727" s="14"/>
      <c r="W727" s="14"/>
      <c r="X727" s="14"/>
      <c r="Y727" s="14"/>
      <c r="Z727" s="14"/>
    </row>
    <row r="728" ht="12.75" customHeight="1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>
        <f t="shared" ref="K728:L728" si="726">H728/12</f>
        <v>0</v>
      </c>
      <c r="L728" s="46">
        <f t="shared" si="726"/>
        <v>0</v>
      </c>
      <c r="M728" s="46"/>
      <c r="N728" s="46">
        <f t="shared" si="4"/>
        <v>0</v>
      </c>
      <c r="O728" s="46">
        <f t="shared" si="5"/>
        <v>0</v>
      </c>
      <c r="P728" s="46" t="str">
        <f t="shared" si="6"/>
        <v/>
      </c>
      <c r="Q728" s="46"/>
      <c r="R728" s="14"/>
      <c r="S728" s="14"/>
      <c r="T728" s="14"/>
      <c r="U728" s="14"/>
      <c r="V728" s="14"/>
      <c r="W728" s="14"/>
      <c r="X728" s="14"/>
      <c r="Y728" s="14"/>
      <c r="Z728" s="14"/>
    </row>
    <row r="729" ht="12.75" customHeight="1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>
        <f t="shared" ref="K729:L729" si="727">H729/12</f>
        <v>0</v>
      </c>
      <c r="L729" s="46">
        <f t="shared" si="727"/>
        <v>0</v>
      </c>
      <c r="M729" s="46"/>
      <c r="N729" s="46">
        <f t="shared" si="4"/>
        <v>0</v>
      </c>
      <c r="O729" s="46">
        <f t="shared" si="5"/>
        <v>0</v>
      </c>
      <c r="P729" s="46" t="str">
        <f t="shared" si="6"/>
        <v/>
      </c>
      <c r="Q729" s="46"/>
      <c r="R729" s="14"/>
      <c r="S729" s="14"/>
      <c r="T729" s="14"/>
      <c r="U729" s="14"/>
      <c r="V729" s="14"/>
      <c r="W729" s="14"/>
      <c r="X729" s="14"/>
      <c r="Y729" s="14"/>
      <c r="Z729" s="14"/>
    </row>
    <row r="730" ht="12.75" customHeight="1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>
        <f t="shared" ref="K730:L730" si="728">H730/12</f>
        <v>0</v>
      </c>
      <c r="L730" s="46">
        <f t="shared" si="728"/>
        <v>0</v>
      </c>
      <c r="M730" s="46"/>
      <c r="N730" s="46">
        <f t="shared" si="4"/>
        <v>0</v>
      </c>
      <c r="O730" s="46">
        <f t="shared" si="5"/>
        <v>0</v>
      </c>
      <c r="P730" s="46" t="str">
        <f t="shared" si="6"/>
        <v/>
      </c>
      <c r="Q730" s="46"/>
      <c r="R730" s="14"/>
      <c r="S730" s="14"/>
      <c r="T730" s="14"/>
      <c r="U730" s="14"/>
      <c r="V730" s="14"/>
      <c r="W730" s="14"/>
      <c r="X730" s="14"/>
      <c r="Y730" s="14"/>
      <c r="Z730" s="14"/>
    </row>
    <row r="731" ht="12.75" customHeight="1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>
        <f t="shared" ref="K731:L731" si="729">H731/12</f>
        <v>0</v>
      </c>
      <c r="L731" s="46">
        <f t="shared" si="729"/>
        <v>0</v>
      </c>
      <c r="M731" s="46"/>
      <c r="N731" s="46">
        <f t="shared" si="4"/>
        <v>0</v>
      </c>
      <c r="O731" s="46">
        <f t="shared" si="5"/>
        <v>0</v>
      </c>
      <c r="P731" s="46" t="str">
        <f t="shared" si="6"/>
        <v/>
      </c>
      <c r="Q731" s="46"/>
      <c r="R731" s="14"/>
      <c r="S731" s="14"/>
      <c r="T731" s="14"/>
      <c r="U731" s="14"/>
      <c r="V731" s="14"/>
      <c r="W731" s="14"/>
      <c r="X731" s="14"/>
      <c r="Y731" s="14"/>
      <c r="Z731" s="14"/>
    </row>
    <row r="732" ht="12.75" customHeight="1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>
        <f t="shared" ref="K732:L732" si="730">H732/12</f>
        <v>0</v>
      </c>
      <c r="L732" s="46">
        <f t="shared" si="730"/>
        <v>0</v>
      </c>
      <c r="M732" s="46"/>
      <c r="N732" s="46">
        <f t="shared" si="4"/>
        <v>0</v>
      </c>
      <c r="O732" s="46">
        <f t="shared" si="5"/>
        <v>0</v>
      </c>
      <c r="P732" s="46" t="str">
        <f t="shared" si="6"/>
        <v/>
      </c>
      <c r="Q732" s="46"/>
      <c r="R732" s="14"/>
      <c r="S732" s="14"/>
      <c r="T732" s="14"/>
      <c r="U732" s="14"/>
      <c r="V732" s="14"/>
      <c r="W732" s="14"/>
      <c r="X732" s="14"/>
      <c r="Y732" s="14"/>
      <c r="Z732" s="14"/>
    </row>
    <row r="733" ht="12.75" customHeight="1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>
        <f t="shared" ref="K733:L733" si="731">H733/12</f>
        <v>0</v>
      </c>
      <c r="L733" s="46">
        <f t="shared" si="731"/>
        <v>0</v>
      </c>
      <c r="M733" s="46"/>
      <c r="N733" s="46">
        <f t="shared" si="4"/>
        <v>0</v>
      </c>
      <c r="O733" s="46">
        <f t="shared" si="5"/>
        <v>0</v>
      </c>
      <c r="P733" s="46" t="str">
        <f t="shared" si="6"/>
        <v/>
      </c>
      <c r="Q733" s="46"/>
      <c r="R733" s="14"/>
      <c r="S733" s="14"/>
      <c r="T733" s="14"/>
      <c r="U733" s="14"/>
      <c r="V733" s="14"/>
      <c r="W733" s="14"/>
      <c r="X733" s="14"/>
      <c r="Y733" s="14"/>
      <c r="Z733" s="14"/>
    </row>
    <row r="734" ht="12.75" customHeight="1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>
        <f t="shared" ref="K734:L734" si="732">H734/12</f>
        <v>0</v>
      </c>
      <c r="L734" s="46">
        <f t="shared" si="732"/>
        <v>0</v>
      </c>
      <c r="M734" s="46"/>
      <c r="N734" s="46">
        <f t="shared" si="4"/>
        <v>0</v>
      </c>
      <c r="O734" s="46">
        <f t="shared" si="5"/>
        <v>0</v>
      </c>
      <c r="P734" s="46" t="str">
        <f t="shared" si="6"/>
        <v/>
      </c>
      <c r="Q734" s="46"/>
      <c r="R734" s="14"/>
      <c r="S734" s="14"/>
      <c r="T734" s="14"/>
      <c r="U734" s="14"/>
      <c r="V734" s="14"/>
      <c r="W734" s="14"/>
      <c r="X734" s="14"/>
      <c r="Y734" s="14"/>
      <c r="Z734" s="14"/>
    </row>
    <row r="735" ht="12.75" customHeight="1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>
        <f t="shared" ref="K735:L735" si="733">H735/12</f>
        <v>0</v>
      </c>
      <c r="L735" s="46">
        <f t="shared" si="733"/>
        <v>0</v>
      </c>
      <c r="M735" s="46"/>
      <c r="N735" s="46">
        <f t="shared" si="4"/>
        <v>0</v>
      </c>
      <c r="O735" s="46">
        <f t="shared" si="5"/>
        <v>0</v>
      </c>
      <c r="P735" s="46" t="str">
        <f t="shared" si="6"/>
        <v/>
      </c>
      <c r="Q735" s="46"/>
      <c r="R735" s="14"/>
      <c r="S735" s="14"/>
      <c r="T735" s="14"/>
      <c r="U735" s="14"/>
      <c r="V735" s="14"/>
      <c r="W735" s="14"/>
      <c r="X735" s="14"/>
      <c r="Y735" s="14"/>
      <c r="Z735" s="14"/>
    </row>
    <row r="736" ht="12.75" customHeight="1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>
        <f t="shared" ref="K736:L736" si="734">H736/12</f>
        <v>0</v>
      </c>
      <c r="L736" s="46">
        <f t="shared" si="734"/>
        <v>0</v>
      </c>
      <c r="M736" s="46"/>
      <c r="N736" s="46">
        <f t="shared" si="4"/>
        <v>0</v>
      </c>
      <c r="O736" s="46">
        <f t="shared" si="5"/>
        <v>0</v>
      </c>
      <c r="P736" s="46" t="str">
        <f t="shared" si="6"/>
        <v/>
      </c>
      <c r="Q736" s="46"/>
      <c r="R736" s="14"/>
      <c r="S736" s="14"/>
      <c r="T736" s="14"/>
      <c r="U736" s="14"/>
      <c r="V736" s="14"/>
      <c r="W736" s="14"/>
      <c r="X736" s="14"/>
      <c r="Y736" s="14"/>
      <c r="Z736" s="14"/>
    </row>
    <row r="737" ht="12.75" customHeight="1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>
        <f t="shared" ref="K737:L737" si="735">H737/12</f>
        <v>0</v>
      </c>
      <c r="L737" s="46">
        <f t="shared" si="735"/>
        <v>0</v>
      </c>
      <c r="M737" s="46"/>
      <c r="N737" s="46">
        <f t="shared" si="4"/>
        <v>0</v>
      </c>
      <c r="O737" s="46">
        <f t="shared" si="5"/>
        <v>0</v>
      </c>
      <c r="P737" s="46" t="str">
        <f t="shared" si="6"/>
        <v/>
      </c>
      <c r="Q737" s="46"/>
      <c r="R737" s="14"/>
      <c r="S737" s="14"/>
      <c r="T737" s="14"/>
      <c r="U737" s="14"/>
      <c r="V737" s="14"/>
      <c r="W737" s="14"/>
      <c r="X737" s="14"/>
      <c r="Y737" s="14"/>
      <c r="Z737" s="14"/>
    </row>
    <row r="738" ht="12.75" customHeight="1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>
        <f t="shared" ref="K738:L738" si="736">H738/12</f>
        <v>0</v>
      </c>
      <c r="L738" s="46">
        <f t="shared" si="736"/>
        <v>0</v>
      </c>
      <c r="M738" s="46"/>
      <c r="N738" s="46">
        <f t="shared" si="4"/>
        <v>0</v>
      </c>
      <c r="O738" s="46">
        <f t="shared" si="5"/>
        <v>0</v>
      </c>
      <c r="P738" s="46" t="str">
        <f t="shared" si="6"/>
        <v/>
      </c>
      <c r="Q738" s="46"/>
      <c r="R738" s="14"/>
      <c r="S738" s="14"/>
      <c r="T738" s="14"/>
      <c r="U738" s="14"/>
      <c r="V738" s="14"/>
      <c r="W738" s="14"/>
      <c r="X738" s="14"/>
      <c r="Y738" s="14"/>
      <c r="Z738" s="14"/>
    </row>
    <row r="739" ht="12.75" customHeight="1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>
        <f t="shared" ref="K739:L739" si="737">H739/12</f>
        <v>0</v>
      </c>
      <c r="L739" s="46">
        <f t="shared" si="737"/>
        <v>0</v>
      </c>
      <c r="M739" s="46"/>
      <c r="N739" s="46">
        <f t="shared" si="4"/>
        <v>0</v>
      </c>
      <c r="O739" s="46">
        <f t="shared" si="5"/>
        <v>0</v>
      </c>
      <c r="P739" s="46" t="str">
        <f t="shared" si="6"/>
        <v/>
      </c>
      <c r="Q739" s="46"/>
      <c r="R739" s="14"/>
      <c r="S739" s="14"/>
      <c r="T739" s="14"/>
      <c r="U739" s="14"/>
      <c r="V739" s="14"/>
      <c r="W739" s="14"/>
      <c r="X739" s="14"/>
      <c r="Y739" s="14"/>
      <c r="Z739" s="14"/>
    </row>
    <row r="740" ht="12.75" customHeight="1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>
        <f t="shared" ref="K740:L740" si="738">H740/12</f>
        <v>0</v>
      </c>
      <c r="L740" s="46">
        <f t="shared" si="738"/>
        <v>0</v>
      </c>
      <c r="M740" s="46"/>
      <c r="N740" s="46">
        <f t="shared" si="4"/>
        <v>0</v>
      </c>
      <c r="O740" s="46">
        <f t="shared" si="5"/>
        <v>0</v>
      </c>
      <c r="P740" s="46" t="str">
        <f t="shared" si="6"/>
        <v/>
      </c>
      <c r="Q740" s="46"/>
      <c r="R740" s="14"/>
      <c r="S740" s="14"/>
      <c r="T740" s="14"/>
      <c r="U740" s="14"/>
      <c r="V740" s="14"/>
      <c r="W740" s="14"/>
      <c r="X740" s="14"/>
      <c r="Y740" s="14"/>
      <c r="Z740" s="14"/>
    </row>
    <row r="741" ht="12.75" customHeight="1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>
        <f t="shared" ref="K741:L741" si="739">H741/12</f>
        <v>0</v>
      </c>
      <c r="L741" s="46">
        <f t="shared" si="739"/>
        <v>0</v>
      </c>
      <c r="M741" s="46"/>
      <c r="N741" s="46">
        <f t="shared" si="4"/>
        <v>0</v>
      </c>
      <c r="O741" s="46">
        <f t="shared" si="5"/>
        <v>0</v>
      </c>
      <c r="P741" s="46" t="str">
        <f t="shared" si="6"/>
        <v/>
      </c>
      <c r="Q741" s="46"/>
      <c r="R741" s="14"/>
      <c r="S741" s="14"/>
      <c r="T741" s="14"/>
      <c r="U741" s="14"/>
      <c r="V741" s="14"/>
      <c r="W741" s="14"/>
      <c r="X741" s="14"/>
      <c r="Y741" s="14"/>
      <c r="Z741" s="14"/>
    </row>
    <row r="742" ht="12.75" customHeight="1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>
        <f t="shared" ref="K742:L742" si="740">H742/12</f>
        <v>0</v>
      </c>
      <c r="L742" s="46">
        <f t="shared" si="740"/>
        <v>0</v>
      </c>
      <c r="M742" s="46"/>
      <c r="N742" s="46">
        <f t="shared" si="4"/>
        <v>0</v>
      </c>
      <c r="O742" s="46">
        <f t="shared" si="5"/>
        <v>0</v>
      </c>
      <c r="P742" s="46" t="str">
        <f t="shared" si="6"/>
        <v/>
      </c>
      <c r="Q742" s="46"/>
      <c r="R742" s="14"/>
      <c r="S742" s="14"/>
      <c r="T742" s="14"/>
      <c r="U742" s="14"/>
      <c r="V742" s="14"/>
      <c r="W742" s="14"/>
      <c r="X742" s="14"/>
      <c r="Y742" s="14"/>
      <c r="Z742" s="14"/>
    </row>
    <row r="743" ht="12.75" customHeight="1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>
        <f t="shared" ref="K743:L743" si="741">H743/12</f>
        <v>0</v>
      </c>
      <c r="L743" s="46">
        <f t="shared" si="741"/>
        <v>0</v>
      </c>
      <c r="M743" s="46"/>
      <c r="N743" s="46">
        <f t="shared" si="4"/>
        <v>0</v>
      </c>
      <c r="O743" s="46">
        <f t="shared" si="5"/>
        <v>0</v>
      </c>
      <c r="P743" s="46" t="str">
        <f t="shared" si="6"/>
        <v/>
      </c>
      <c r="Q743" s="46"/>
      <c r="R743" s="14"/>
      <c r="S743" s="14"/>
      <c r="T743" s="14"/>
      <c r="U743" s="14"/>
      <c r="V743" s="14"/>
      <c r="W743" s="14"/>
      <c r="X743" s="14"/>
      <c r="Y743" s="14"/>
      <c r="Z743" s="14"/>
    </row>
    <row r="744" ht="12.75" customHeight="1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>
        <f t="shared" ref="K744:L744" si="742">H744/12</f>
        <v>0</v>
      </c>
      <c r="L744" s="46">
        <f t="shared" si="742"/>
        <v>0</v>
      </c>
      <c r="M744" s="46"/>
      <c r="N744" s="46">
        <f t="shared" si="4"/>
        <v>0</v>
      </c>
      <c r="O744" s="46">
        <f t="shared" si="5"/>
        <v>0</v>
      </c>
      <c r="P744" s="46" t="str">
        <f t="shared" si="6"/>
        <v/>
      </c>
      <c r="Q744" s="46"/>
      <c r="R744" s="14"/>
      <c r="S744" s="14"/>
      <c r="T744" s="14"/>
      <c r="U744" s="14"/>
      <c r="V744" s="14"/>
      <c r="W744" s="14"/>
      <c r="X744" s="14"/>
      <c r="Y744" s="14"/>
      <c r="Z744" s="14"/>
    </row>
    <row r="745" ht="12.75" customHeight="1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>
        <f t="shared" ref="K745:L745" si="743">H745/12</f>
        <v>0</v>
      </c>
      <c r="L745" s="46">
        <f t="shared" si="743"/>
        <v>0</v>
      </c>
      <c r="M745" s="46"/>
      <c r="N745" s="46">
        <f t="shared" si="4"/>
        <v>0</v>
      </c>
      <c r="O745" s="46">
        <f t="shared" si="5"/>
        <v>0</v>
      </c>
      <c r="P745" s="46" t="str">
        <f t="shared" si="6"/>
        <v/>
      </c>
      <c r="Q745" s="46"/>
      <c r="R745" s="14"/>
      <c r="S745" s="14"/>
      <c r="T745" s="14"/>
      <c r="U745" s="14"/>
      <c r="V745" s="14"/>
      <c r="W745" s="14"/>
      <c r="X745" s="14"/>
      <c r="Y745" s="14"/>
      <c r="Z745" s="14"/>
    </row>
    <row r="746" ht="12.75" customHeight="1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>
        <f t="shared" ref="K746:L746" si="744">H746/12</f>
        <v>0</v>
      </c>
      <c r="L746" s="46">
        <f t="shared" si="744"/>
        <v>0</v>
      </c>
      <c r="M746" s="46"/>
      <c r="N746" s="46">
        <f t="shared" si="4"/>
        <v>0</v>
      </c>
      <c r="O746" s="46">
        <f t="shared" si="5"/>
        <v>0</v>
      </c>
      <c r="P746" s="46" t="str">
        <f t="shared" si="6"/>
        <v/>
      </c>
      <c r="Q746" s="46"/>
      <c r="R746" s="14"/>
      <c r="S746" s="14"/>
      <c r="T746" s="14"/>
      <c r="U746" s="14"/>
      <c r="V746" s="14"/>
      <c r="W746" s="14"/>
      <c r="X746" s="14"/>
      <c r="Y746" s="14"/>
      <c r="Z746" s="14"/>
    </row>
    <row r="747" ht="12.75" customHeight="1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>
        <f t="shared" ref="K747:L747" si="745">H747/12</f>
        <v>0</v>
      </c>
      <c r="L747" s="46">
        <f t="shared" si="745"/>
        <v>0</v>
      </c>
      <c r="M747" s="46"/>
      <c r="N747" s="46">
        <f t="shared" si="4"/>
        <v>0</v>
      </c>
      <c r="O747" s="46">
        <f t="shared" si="5"/>
        <v>0</v>
      </c>
      <c r="P747" s="46" t="str">
        <f t="shared" si="6"/>
        <v/>
      </c>
      <c r="Q747" s="46"/>
      <c r="R747" s="14"/>
      <c r="S747" s="14"/>
      <c r="T747" s="14"/>
      <c r="U747" s="14"/>
      <c r="V747" s="14"/>
      <c r="W747" s="14"/>
      <c r="X747" s="14"/>
      <c r="Y747" s="14"/>
      <c r="Z747" s="14"/>
    </row>
    <row r="748" ht="12.75" customHeight="1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>
        <f t="shared" ref="K748:L748" si="746">H748/12</f>
        <v>0</v>
      </c>
      <c r="L748" s="46">
        <f t="shared" si="746"/>
        <v>0</v>
      </c>
      <c r="M748" s="46"/>
      <c r="N748" s="46">
        <f t="shared" si="4"/>
        <v>0</v>
      </c>
      <c r="O748" s="46">
        <f t="shared" si="5"/>
        <v>0</v>
      </c>
      <c r="P748" s="46" t="str">
        <f t="shared" si="6"/>
        <v/>
      </c>
      <c r="Q748" s="46"/>
      <c r="R748" s="14"/>
      <c r="S748" s="14"/>
      <c r="T748" s="14"/>
      <c r="U748" s="14"/>
      <c r="V748" s="14"/>
      <c r="W748" s="14"/>
      <c r="X748" s="14"/>
      <c r="Y748" s="14"/>
      <c r="Z748" s="14"/>
    </row>
    <row r="749" ht="12.75" customHeight="1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>
        <f t="shared" ref="K749:L749" si="747">H749/12</f>
        <v>0</v>
      </c>
      <c r="L749" s="46">
        <f t="shared" si="747"/>
        <v>0</v>
      </c>
      <c r="M749" s="46"/>
      <c r="N749" s="46">
        <f t="shared" si="4"/>
        <v>0</v>
      </c>
      <c r="O749" s="46">
        <f t="shared" si="5"/>
        <v>0</v>
      </c>
      <c r="P749" s="46" t="str">
        <f t="shared" si="6"/>
        <v/>
      </c>
      <c r="Q749" s="46"/>
      <c r="R749" s="14"/>
      <c r="S749" s="14"/>
      <c r="T749" s="14"/>
      <c r="U749" s="14"/>
      <c r="V749" s="14"/>
      <c r="W749" s="14"/>
      <c r="X749" s="14"/>
      <c r="Y749" s="14"/>
      <c r="Z749" s="14"/>
    </row>
    <row r="750" ht="12.75" customHeight="1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>
        <f t="shared" ref="K750:L750" si="748">H750/12</f>
        <v>0</v>
      </c>
      <c r="L750" s="46">
        <f t="shared" si="748"/>
        <v>0</v>
      </c>
      <c r="M750" s="46"/>
      <c r="N750" s="46">
        <f t="shared" si="4"/>
        <v>0</v>
      </c>
      <c r="O750" s="46">
        <f t="shared" si="5"/>
        <v>0</v>
      </c>
      <c r="P750" s="46" t="str">
        <f t="shared" si="6"/>
        <v/>
      </c>
      <c r="Q750" s="46"/>
      <c r="R750" s="14"/>
      <c r="S750" s="14"/>
      <c r="T750" s="14"/>
      <c r="U750" s="14"/>
      <c r="V750" s="14"/>
      <c r="W750" s="14"/>
      <c r="X750" s="14"/>
      <c r="Y750" s="14"/>
      <c r="Z750" s="14"/>
    </row>
    <row r="751" ht="12.75" customHeight="1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>
        <f t="shared" ref="K751:L751" si="749">H751/12</f>
        <v>0</v>
      </c>
      <c r="L751" s="46">
        <f t="shared" si="749"/>
        <v>0</v>
      </c>
      <c r="M751" s="46"/>
      <c r="N751" s="46">
        <f t="shared" si="4"/>
        <v>0</v>
      </c>
      <c r="O751" s="46">
        <f t="shared" si="5"/>
        <v>0</v>
      </c>
      <c r="P751" s="46" t="str">
        <f t="shared" si="6"/>
        <v/>
      </c>
      <c r="Q751" s="46"/>
      <c r="R751" s="14"/>
      <c r="S751" s="14"/>
      <c r="T751" s="14"/>
      <c r="U751" s="14"/>
      <c r="V751" s="14"/>
      <c r="W751" s="14"/>
      <c r="X751" s="14"/>
      <c r="Y751" s="14"/>
      <c r="Z751" s="14"/>
    </row>
    <row r="752" ht="12.75" customHeight="1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>
        <f t="shared" ref="K752:L752" si="750">H752/12</f>
        <v>0</v>
      </c>
      <c r="L752" s="46">
        <f t="shared" si="750"/>
        <v>0</v>
      </c>
      <c r="M752" s="46"/>
      <c r="N752" s="46">
        <f t="shared" si="4"/>
        <v>0</v>
      </c>
      <c r="O752" s="46">
        <f t="shared" si="5"/>
        <v>0</v>
      </c>
      <c r="P752" s="46" t="str">
        <f t="shared" si="6"/>
        <v/>
      </c>
      <c r="Q752" s="46"/>
      <c r="R752" s="14"/>
      <c r="S752" s="14"/>
      <c r="T752" s="14"/>
      <c r="U752" s="14"/>
      <c r="V752" s="14"/>
      <c r="W752" s="14"/>
      <c r="X752" s="14"/>
      <c r="Y752" s="14"/>
      <c r="Z752" s="14"/>
    </row>
    <row r="753" ht="12.75" customHeight="1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>
        <f t="shared" ref="K753:L753" si="751">H753/12</f>
        <v>0</v>
      </c>
      <c r="L753" s="46">
        <f t="shared" si="751"/>
        <v>0</v>
      </c>
      <c r="M753" s="46"/>
      <c r="N753" s="46">
        <f t="shared" si="4"/>
        <v>0</v>
      </c>
      <c r="O753" s="46">
        <f t="shared" si="5"/>
        <v>0</v>
      </c>
      <c r="P753" s="46" t="str">
        <f t="shared" si="6"/>
        <v/>
      </c>
      <c r="Q753" s="46"/>
      <c r="R753" s="14"/>
      <c r="S753" s="14"/>
      <c r="T753" s="14"/>
      <c r="U753" s="14"/>
      <c r="V753" s="14"/>
      <c r="W753" s="14"/>
      <c r="X753" s="14"/>
      <c r="Y753" s="14"/>
      <c r="Z753" s="14"/>
    </row>
    <row r="754" ht="12.75" customHeight="1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>
        <f t="shared" ref="K754:L754" si="752">H754/12</f>
        <v>0</v>
      </c>
      <c r="L754" s="46">
        <f t="shared" si="752"/>
        <v>0</v>
      </c>
      <c r="M754" s="46"/>
      <c r="N754" s="46">
        <f t="shared" si="4"/>
        <v>0</v>
      </c>
      <c r="O754" s="46">
        <f t="shared" si="5"/>
        <v>0</v>
      </c>
      <c r="P754" s="46" t="str">
        <f t="shared" si="6"/>
        <v/>
      </c>
      <c r="Q754" s="46"/>
      <c r="R754" s="14"/>
      <c r="S754" s="14"/>
      <c r="T754" s="14"/>
      <c r="U754" s="14"/>
      <c r="V754" s="14"/>
      <c r="W754" s="14"/>
      <c r="X754" s="14"/>
      <c r="Y754" s="14"/>
      <c r="Z754" s="14"/>
    </row>
    <row r="755" ht="12.75" customHeight="1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>
        <f t="shared" ref="K755:L755" si="753">H755/12</f>
        <v>0</v>
      </c>
      <c r="L755" s="46">
        <f t="shared" si="753"/>
        <v>0</v>
      </c>
      <c r="M755" s="46"/>
      <c r="N755" s="46">
        <f t="shared" si="4"/>
        <v>0</v>
      </c>
      <c r="O755" s="46">
        <f t="shared" si="5"/>
        <v>0</v>
      </c>
      <c r="P755" s="46" t="str">
        <f t="shared" si="6"/>
        <v/>
      </c>
      <c r="Q755" s="46"/>
      <c r="R755" s="14"/>
      <c r="S755" s="14"/>
      <c r="T755" s="14"/>
      <c r="U755" s="14"/>
      <c r="V755" s="14"/>
      <c r="W755" s="14"/>
      <c r="X755" s="14"/>
      <c r="Y755" s="14"/>
      <c r="Z755" s="14"/>
    </row>
    <row r="756" ht="12.75" customHeight="1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>
        <f t="shared" ref="K756:L756" si="754">H756/12</f>
        <v>0</v>
      </c>
      <c r="L756" s="46">
        <f t="shared" si="754"/>
        <v>0</v>
      </c>
      <c r="M756" s="46"/>
      <c r="N756" s="46">
        <f t="shared" si="4"/>
        <v>0</v>
      </c>
      <c r="O756" s="46">
        <f t="shared" si="5"/>
        <v>0</v>
      </c>
      <c r="P756" s="46" t="str">
        <f t="shared" si="6"/>
        <v/>
      </c>
      <c r="Q756" s="46"/>
      <c r="R756" s="14"/>
      <c r="S756" s="14"/>
      <c r="T756" s="14"/>
      <c r="U756" s="14"/>
      <c r="V756" s="14"/>
      <c r="W756" s="14"/>
      <c r="X756" s="14"/>
      <c r="Y756" s="14"/>
      <c r="Z756" s="14"/>
    </row>
    <row r="757" ht="12.75" customHeight="1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>
        <f t="shared" ref="K757:L757" si="755">H757/12</f>
        <v>0</v>
      </c>
      <c r="L757" s="46">
        <f t="shared" si="755"/>
        <v>0</v>
      </c>
      <c r="M757" s="46"/>
      <c r="N757" s="46">
        <f t="shared" si="4"/>
        <v>0</v>
      </c>
      <c r="O757" s="46">
        <f t="shared" si="5"/>
        <v>0</v>
      </c>
      <c r="P757" s="46" t="str">
        <f t="shared" si="6"/>
        <v/>
      </c>
      <c r="Q757" s="46"/>
      <c r="R757" s="14"/>
      <c r="S757" s="14"/>
      <c r="T757" s="14"/>
      <c r="U757" s="14"/>
      <c r="V757" s="14"/>
      <c r="W757" s="14"/>
      <c r="X757" s="14"/>
      <c r="Y757" s="14"/>
      <c r="Z757" s="14"/>
    </row>
    <row r="758" ht="12.75" customHeight="1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>
        <f t="shared" ref="K758:L758" si="756">H758/12</f>
        <v>0</v>
      </c>
      <c r="L758" s="46">
        <f t="shared" si="756"/>
        <v>0</v>
      </c>
      <c r="M758" s="46"/>
      <c r="N758" s="46">
        <f t="shared" si="4"/>
        <v>0</v>
      </c>
      <c r="O758" s="46">
        <f t="shared" si="5"/>
        <v>0</v>
      </c>
      <c r="P758" s="46" t="str">
        <f t="shared" si="6"/>
        <v/>
      </c>
      <c r="Q758" s="46"/>
      <c r="R758" s="14"/>
      <c r="S758" s="14"/>
      <c r="T758" s="14"/>
      <c r="U758" s="14"/>
      <c r="V758" s="14"/>
      <c r="W758" s="14"/>
      <c r="X758" s="14"/>
      <c r="Y758" s="14"/>
      <c r="Z758" s="14"/>
    </row>
    <row r="759" ht="12.75" customHeight="1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>
        <f t="shared" ref="K759:L759" si="757">H759/12</f>
        <v>0</v>
      </c>
      <c r="L759" s="46">
        <f t="shared" si="757"/>
        <v>0</v>
      </c>
      <c r="M759" s="46"/>
      <c r="N759" s="46">
        <f t="shared" si="4"/>
        <v>0</v>
      </c>
      <c r="O759" s="46">
        <f t="shared" si="5"/>
        <v>0</v>
      </c>
      <c r="P759" s="46" t="str">
        <f t="shared" si="6"/>
        <v/>
      </c>
      <c r="Q759" s="46"/>
      <c r="R759" s="14"/>
      <c r="S759" s="14"/>
      <c r="T759" s="14"/>
      <c r="U759" s="14"/>
      <c r="V759" s="14"/>
      <c r="W759" s="14"/>
      <c r="X759" s="14"/>
      <c r="Y759" s="14"/>
      <c r="Z759" s="14"/>
    </row>
    <row r="760" ht="12.75" customHeight="1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>
        <f t="shared" ref="K760:L760" si="758">H760/12</f>
        <v>0</v>
      </c>
      <c r="L760" s="46">
        <f t="shared" si="758"/>
        <v>0</v>
      </c>
      <c r="M760" s="46"/>
      <c r="N760" s="46">
        <f t="shared" si="4"/>
        <v>0</v>
      </c>
      <c r="O760" s="46">
        <f t="shared" si="5"/>
        <v>0</v>
      </c>
      <c r="P760" s="46" t="str">
        <f t="shared" si="6"/>
        <v/>
      </c>
      <c r="Q760" s="46"/>
      <c r="R760" s="14"/>
      <c r="S760" s="14"/>
      <c r="T760" s="14"/>
      <c r="U760" s="14"/>
      <c r="V760" s="14"/>
      <c r="W760" s="14"/>
      <c r="X760" s="14"/>
      <c r="Y760" s="14"/>
      <c r="Z760" s="14"/>
    </row>
    <row r="761" ht="12.75" customHeight="1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>
        <f t="shared" ref="K761:L761" si="759">H761/12</f>
        <v>0</v>
      </c>
      <c r="L761" s="46">
        <f t="shared" si="759"/>
        <v>0</v>
      </c>
      <c r="M761" s="46"/>
      <c r="N761" s="46">
        <f t="shared" si="4"/>
        <v>0</v>
      </c>
      <c r="O761" s="46">
        <f t="shared" si="5"/>
        <v>0</v>
      </c>
      <c r="P761" s="46" t="str">
        <f t="shared" si="6"/>
        <v/>
      </c>
      <c r="Q761" s="46"/>
      <c r="R761" s="14"/>
      <c r="S761" s="14"/>
      <c r="T761" s="14"/>
      <c r="U761" s="14"/>
      <c r="V761" s="14"/>
      <c r="W761" s="14"/>
      <c r="X761" s="14"/>
      <c r="Y761" s="14"/>
      <c r="Z761" s="14"/>
    </row>
    <row r="762" ht="12.75" customHeight="1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>
        <f t="shared" ref="K762:L762" si="760">H762/12</f>
        <v>0</v>
      </c>
      <c r="L762" s="46">
        <f t="shared" si="760"/>
        <v>0</v>
      </c>
      <c r="M762" s="46"/>
      <c r="N762" s="46">
        <f t="shared" si="4"/>
        <v>0</v>
      </c>
      <c r="O762" s="46">
        <f t="shared" si="5"/>
        <v>0</v>
      </c>
      <c r="P762" s="46" t="str">
        <f t="shared" si="6"/>
        <v/>
      </c>
      <c r="Q762" s="46"/>
      <c r="R762" s="14"/>
      <c r="S762" s="14"/>
      <c r="T762" s="14"/>
      <c r="U762" s="14"/>
      <c r="V762" s="14"/>
      <c r="W762" s="14"/>
      <c r="X762" s="14"/>
      <c r="Y762" s="14"/>
      <c r="Z762" s="14"/>
    </row>
    <row r="763" ht="12.75" customHeight="1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>
        <f t="shared" ref="K763:L763" si="761">H763/12</f>
        <v>0</v>
      </c>
      <c r="L763" s="46">
        <f t="shared" si="761"/>
        <v>0</v>
      </c>
      <c r="M763" s="46"/>
      <c r="N763" s="46">
        <f t="shared" si="4"/>
        <v>0</v>
      </c>
      <c r="O763" s="46">
        <f t="shared" si="5"/>
        <v>0</v>
      </c>
      <c r="P763" s="46" t="str">
        <f t="shared" si="6"/>
        <v/>
      </c>
      <c r="Q763" s="46"/>
      <c r="R763" s="14"/>
      <c r="S763" s="14"/>
      <c r="T763" s="14"/>
      <c r="U763" s="14"/>
      <c r="V763" s="14"/>
      <c r="W763" s="14"/>
      <c r="X763" s="14"/>
      <c r="Y763" s="14"/>
      <c r="Z763" s="14"/>
    </row>
    <row r="764" ht="12.75" customHeight="1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>
        <f t="shared" ref="K764:L764" si="762">H764/12</f>
        <v>0</v>
      </c>
      <c r="L764" s="46">
        <f t="shared" si="762"/>
        <v>0</v>
      </c>
      <c r="M764" s="46"/>
      <c r="N764" s="46">
        <f t="shared" si="4"/>
        <v>0</v>
      </c>
      <c r="O764" s="46">
        <f t="shared" si="5"/>
        <v>0</v>
      </c>
      <c r="P764" s="46" t="str">
        <f t="shared" si="6"/>
        <v/>
      </c>
      <c r="Q764" s="46"/>
      <c r="R764" s="14"/>
      <c r="S764" s="14"/>
      <c r="T764" s="14"/>
      <c r="U764" s="14"/>
      <c r="V764" s="14"/>
      <c r="W764" s="14"/>
      <c r="X764" s="14"/>
      <c r="Y764" s="14"/>
      <c r="Z764" s="14"/>
    </row>
    <row r="765" ht="12.75" customHeight="1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>
        <f t="shared" ref="K765:L765" si="763">H765/12</f>
        <v>0</v>
      </c>
      <c r="L765" s="46">
        <f t="shared" si="763"/>
        <v>0</v>
      </c>
      <c r="M765" s="46"/>
      <c r="N765" s="46">
        <f t="shared" si="4"/>
        <v>0</v>
      </c>
      <c r="O765" s="46">
        <f t="shared" si="5"/>
        <v>0</v>
      </c>
      <c r="P765" s="46" t="str">
        <f t="shared" si="6"/>
        <v/>
      </c>
      <c r="Q765" s="46"/>
      <c r="R765" s="14"/>
      <c r="S765" s="14"/>
      <c r="T765" s="14"/>
      <c r="U765" s="14"/>
      <c r="V765" s="14"/>
      <c r="W765" s="14"/>
      <c r="X765" s="14"/>
      <c r="Y765" s="14"/>
      <c r="Z765" s="14"/>
    </row>
    <row r="766" ht="12.75" customHeight="1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>
        <f t="shared" ref="K766:L766" si="764">H766/12</f>
        <v>0</v>
      </c>
      <c r="L766" s="46">
        <f t="shared" si="764"/>
        <v>0</v>
      </c>
      <c r="M766" s="46"/>
      <c r="N766" s="46">
        <f t="shared" si="4"/>
        <v>0</v>
      </c>
      <c r="O766" s="46">
        <f t="shared" si="5"/>
        <v>0</v>
      </c>
      <c r="P766" s="46" t="str">
        <f t="shared" si="6"/>
        <v/>
      </c>
      <c r="Q766" s="46"/>
      <c r="R766" s="14"/>
      <c r="S766" s="14"/>
      <c r="T766" s="14"/>
      <c r="U766" s="14"/>
      <c r="V766" s="14"/>
      <c r="W766" s="14"/>
      <c r="X766" s="14"/>
      <c r="Y766" s="14"/>
      <c r="Z766" s="14"/>
    </row>
    <row r="767" ht="12.75" customHeight="1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>
        <f t="shared" ref="K767:L767" si="765">H767/12</f>
        <v>0</v>
      </c>
      <c r="L767" s="46">
        <f t="shared" si="765"/>
        <v>0</v>
      </c>
      <c r="M767" s="46"/>
      <c r="N767" s="46">
        <f t="shared" si="4"/>
        <v>0</v>
      </c>
      <c r="O767" s="46">
        <f t="shared" si="5"/>
        <v>0</v>
      </c>
      <c r="P767" s="46" t="str">
        <f t="shared" si="6"/>
        <v/>
      </c>
      <c r="Q767" s="46"/>
      <c r="R767" s="14"/>
      <c r="S767" s="14"/>
      <c r="T767" s="14"/>
      <c r="U767" s="14"/>
      <c r="V767" s="14"/>
      <c r="W767" s="14"/>
      <c r="X767" s="14"/>
      <c r="Y767" s="14"/>
      <c r="Z767" s="14"/>
    </row>
    <row r="768" ht="12.75" customHeight="1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>
        <f t="shared" ref="K768:L768" si="766">H768/12</f>
        <v>0</v>
      </c>
      <c r="L768" s="46">
        <f t="shared" si="766"/>
        <v>0</v>
      </c>
      <c r="M768" s="46"/>
      <c r="N768" s="46">
        <f t="shared" si="4"/>
        <v>0</v>
      </c>
      <c r="O768" s="46">
        <f t="shared" si="5"/>
        <v>0</v>
      </c>
      <c r="P768" s="46" t="str">
        <f t="shared" si="6"/>
        <v/>
      </c>
      <c r="Q768" s="46"/>
      <c r="R768" s="14"/>
      <c r="S768" s="14"/>
      <c r="T768" s="14"/>
      <c r="U768" s="14"/>
      <c r="V768" s="14"/>
      <c r="W768" s="14"/>
      <c r="X768" s="14"/>
      <c r="Y768" s="14"/>
      <c r="Z768" s="14"/>
    </row>
    <row r="769" ht="12.75" customHeight="1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>
        <f t="shared" ref="K769:L769" si="767">H769/12</f>
        <v>0</v>
      </c>
      <c r="L769" s="46">
        <f t="shared" si="767"/>
        <v>0</v>
      </c>
      <c r="M769" s="46"/>
      <c r="N769" s="46">
        <f t="shared" si="4"/>
        <v>0</v>
      </c>
      <c r="O769" s="46">
        <f t="shared" si="5"/>
        <v>0</v>
      </c>
      <c r="P769" s="46" t="str">
        <f t="shared" si="6"/>
        <v/>
      </c>
      <c r="Q769" s="46"/>
      <c r="R769" s="14"/>
      <c r="S769" s="14"/>
      <c r="T769" s="14"/>
      <c r="U769" s="14"/>
      <c r="V769" s="14"/>
      <c r="W769" s="14"/>
      <c r="X769" s="14"/>
      <c r="Y769" s="14"/>
      <c r="Z769" s="14"/>
    </row>
    <row r="770" ht="12.75" customHeight="1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>
        <f t="shared" ref="K770:L770" si="768">H770/12</f>
        <v>0</v>
      </c>
      <c r="L770" s="46">
        <f t="shared" si="768"/>
        <v>0</v>
      </c>
      <c r="M770" s="46"/>
      <c r="N770" s="46">
        <f t="shared" si="4"/>
        <v>0</v>
      </c>
      <c r="O770" s="46">
        <f t="shared" si="5"/>
        <v>0</v>
      </c>
      <c r="P770" s="46" t="str">
        <f t="shared" si="6"/>
        <v/>
      </c>
      <c r="Q770" s="46"/>
      <c r="R770" s="14"/>
      <c r="S770" s="14"/>
      <c r="T770" s="14"/>
      <c r="U770" s="14"/>
      <c r="V770" s="14"/>
      <c r="W770" s="14"/>
      <c r="X770" s="14"/>
      <c r="Y770" s="14"/>
      <c r="Z770" s="14"/>
    </row>
    <row r="771" ht="12.75" customHeight="1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>
        <f t="shared" ref="K771:L771" si="769">H771/12</f>
        <v>0</v>
      </c>
      <c r="L771" s="46">
        <f t="shared" si="769"/>
        <v>0</v>
      </c>
      <c r="M771" s="46"/>
      <c r="N771" s="46">
        <f t="shared" si="4"/>
        <v>0</v>
      </c>
      <c r="O771" s="46">
        <f t="shared" si="5"/>
        <v>0</v>
      </c>
      <c r="P771" s="46" t="str">
        <f t="shared" si="6"/>
        <v/>
      </c>
      <c r="Q771" s="46"/>
      <c r="R771" s="14"/>
      <c r="S771" s="14"/>
      <c r="T771" s="14"/>
      <c r="U771" s="14"/>
      <c r="V771" s="14"/>
      <c r="W771" s="14"/>
      <c r="X771" s="14"/>
      <c r="Y771" s="14"/>
      <c r="Z771" s="14"/>
    </row>
    <row r="772" ht="12.75" customHeight="1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>
        <f t="shared" ref="K772:L772" si="770">H772/12</f>
        <v>0</v>
      </c>
      <c r="L772" s="46">
        <f t="shared" si="770"/>
        <v>0</v>
      </c>
      <c r="M772" s="46"/>
      <c r="N772" s="46">
        <f t="shared" si="4"/>
        <v>0</v>
      </c>
      <c r="O772" s="46">
        <f t="shared" si="5"/>
        <v>0</v>
      </c>
      <c r="P772" s="46" t="str">
        <f t="shared" si="6"/>
        <v/>
      </c>
      <c r="Q772" s="46"/>
      <c r="R772" s="14"/>
      <c r="S772" s="14"/>
      <c r="T772" s="14"/>
      <c r="U772" s="14"/>
      <c r="V772" s="14"/>
      <c r="W772" s="14"/>
      <c r="X772" s="14"/>
      <c r="Y772" s="14"/>
      <c r="Z772" s="14"/>
    </row>
    <row r="773" ht="12.75" customHeight="1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>
        <f t="shared" ref="K773:L773" si="771">H773/12</f>
        <v>0</v>
      </c>
      <c r="L773" s="46">
        <f t="shared" si="771"/>
        <v>0</v>
      </c>
      <c r="M773" s="46"/>
      <c r="N773" s="46">
        <f t="shared" si="4"/>
        <v>0</v>
      </c>
      <c r="O773" s="46">
        <f t="shared" si="5"/>
        <v>0</v>
      </c>
      <c r="P773" s="46" t="str">
        <f t="shared" si="6"/>
        <v/>
      </c>
      <c r="Q773" s="46"/>
      <c r="R773" s="14"/>
      <c r="S773" s="14"/>
      <c r="T773" s="14"/>
      <c r="U773" s="14"/>
      <c r="V773" s="14"/>
      <c r="W773" s="14"/>
      <c r="X773" s="14"/>
      <c r="Y773" s="14"/>
      <c r="Z773" s="14"/>
    </row>
    <row r="774" ht="12.75" customHeight="1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>
        <f t="shared" ref="K774:L774" si="772">H774/12</f>
        <v>0</v>
      </c>
      <c r="L774" s="46">
        <f t="shared" si="772"/>
        <v>0</v>
      </c>
      <c r="M774" s="46"/>
      <c r="N774" s="46">
        <f t="shared" si="4"/>
        <v>0</v>
      </c>
      <c r="O774" s="46">
        <f t="shared" si="5"/>
        <v>0</v>
      </c>
      <c r="P774" s="46" t="str">
        <f t="shared" si="6"/>
        <v/>
      </c>
      <c r="Q774" s="46"/>
      <c r="R774" s="14"/>
      <c r="S774" s="14"/>
      <c r="T774" s="14"/>
      <c r="U774" s="14"/>
      <c r="V774" s="14"/>
      <c r="W774" s="14"/>
      <c r="X774" s="14"/>
      <c r="Y774" s="14"/>
      <c r="Z774" s="14"/>
    </row>
    <row r="775" ht="12.75" customHeight="1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>
        <f t="shared" ref="K775:L775" si="773">H775/12</f>
        <v>0</v>
      </c>
      <c r="L775" s="46">
        <f t="shared" si="773"/>
        <v>0</v>
      </c>
      <c r="M775" s="46"/>
      <c r="N775" s="46">
        <f t="shared" si="4"/>
        <v>0</v>
      </c>
      <c r="O775" s="46">
        <f t="shared" si="5"/>
        <v>0</v>
      </c>
      <c r="P775" s="46" t="str">
        <f t="shared" si="6"/>
        <v/>
      </c>
      <c r="Q775" s="46"/>
      <c r="R775" s="14"/>
      <c r="S775" s="14"/>
      <c r="T775" s="14"/>
      <c r="U775" s="14"/>
      <c r="V775" s="14"/>
      <c r="W775" s="14"/>
      <c r="X775" s="14"/>
      <c r="Y775" s="14"/>
      <c r="Z775" s="14"/>
    </row>
    <row r="776" ht="12.75" customHeight="1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>
        <f t="shared" ref="K776:L776" si="774">H776/12</f>
        <v>0</v>
      </c>
      <c r="L776" s="46">
        <f t="shared" si="774"/>
        <v>0</v>
      </c>
      <c r="M776" s="46"/>
      <c r="N776" s="46">
        <f t="shared" si="4"/>
        <v>0</v>
      </c>
      <c r="O776" s="46">
        <f t="shared" si="5"/>
        <v>0</v>
      </c>
      <c r="P776" s="46" t="str">
        <f t="shared" si="6"/>
        <v/>
      </c>
      <c r="Q776" s="46"/>
      <c r="R776" s="14"/>
      <c r="S776" s="14"/>
      <c r="T776" s="14"/>
      <c r="U776" s="14"/>
      <c r="V776" s="14"/>
      <c r="W776" s="14"/>
      <c r="X776" s="14"/>
      <c r="Y776" s="14"/>
      <c r="Z776" s="14"/>
    </row>
    <row r="777" ht="12.75" customHeight="1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>
        <f t="shared" ref="K777:L777" si="775">H777/12</f>
        <v>0</v>
      </c>
      <c r="L777" s="46">
        <f t="shared" si="775"/>
        <v>0</v>
      </c>
      <c r="M777" s="46"/>
      <c r="N777" s="46">
        <f t="shared" si="4"/>
        <v>0</v>
      </c>
      <c r="O777" s="46">
        <f t="shared" si="5"/>
        <v>0</v>
      </c>
      <c r="P777" s="46" t="str">
        <f t="shared" si="6"/>
        <v/>
      </c>
      <c r="Q777" s="46"/>
      <c r="R777" s="14"/>
      <c r="S777" s="14"/>
      <c r="T777" s="14"/>
      <c r="U777" s="14"/>
      <c r="V777" s="14"/>
      <c r="W777" s="14"/>
      <c r="X777" s="14"/>
      <c r="Y777" s="14"/>
      <c r="Z777" s="14"/>
    </row>
    <row r="778" ht="12.75" customHeight="1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>
        <f t="shared" ref="K778:L778" si="776">H778/12</f>
        <v>0</v>
      </c>
      <c r="L778" s="46">
        <f t="shared" si="776"/>
        <v>0</v>
      </c>
      <c r="M778" s="46"/>
      <c r="N778" s="46">
        <f t="shared" si="4"/>
        <v>0</v>
      </c>
      <c r="O778" s="46">
        <f t="shared" si="5"/>
        <v>0</v>
      </c>
      <c r="P778" s="46" t="str">
        <f t="shared" si="6"/>
        <v/>
      </c>
      <c r="Q778" s="46"/>
      <c r="R778" s="14"/>
      <c r="S778" s="14"/>
      <c r="T778" s="14"/>
      <c r="U778" s="14"/>
      <c r="V778" s="14"/>
      <c r="W778" s="14"/>
      <c r="X778" s="14"/>
      <c r="Y778" s="14"/>
      <c r="Z778" s="14"/>
    </row>
    <row r="779" ht="12.75" customHeight="1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>
        <f t="shared" ref="K779:L779" si="777">H779/12</f>
        <v>0</v>
      </c>
      <c r="L779" s="46">
        <f t="shared" si="777"/>
        <v>0</v>
      </c>
      <c r="M779" s="46"/>
      <c r="N779" s="46">
        <f t="shared" si="4"/>
        <v>0</v>
      </c>
      <c r="O779" s="46">
        <f t="shared" si="5"/>
        <v>0</v>
      </c>
      <c r="P779" s="46" t="str">
        <f t="shared" si="6"/>
        <v/>
      </c>
      <c r="Q779" s="46"/>
      <c r="R779" s="14"/>
      <c r="S779" s="14"/>
      <c r="T779" s="14"/>
      <c r="U779" s="14"/>
      <c r="V779" s="14"/>
      <c r="W779" s="14"/>
      <c r="X779" s="14"/>
      <c r="Y779" s="14"/>
      <c r="Z779" s="14"/>
    </row>
    <row r="780" ht="12.75" customHeight="1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>
        <f t="shared" ref="K780:L780" si="778">H780/12</f>
        <v>0</v>
      </c>
      <c r="L780" s="46">
        <f t="shared" si="778"/>
        <v>0</v>
      </c>
      <c r="M780" s="46"/>
      <c r="N780" s="46">
        <f t="shared" si="4"/>
        <v>0</v>
      </c>
      <c r="O780" s="46">
        <f t="shared" si="5"/>
        <v>0</v>
      </c>
      <c r="P780" s="46" t="str">
        <f t="shared" si="6"/>
        <v/>
      </c>
      <c r="Q780" s="46"/>
      <c r="R780" s="14"/>
      <c r="S780" s="14"/>
      <c r="T780" s="14"/>
      <c r="U780" s="14"/>
      <c r="V780" s="14"/>
      <c r="W780" s="14"/>
      <c r="X780" s="14"/>
      <c r="Y780" s="14"/>
      <c r="Z780" s="14"/>
    </row>
    <row r="781" ht="12.75" customHeight="1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>
        <f t="shared" ref="K781:L781" si="779">H781/12</f>
        <v>0</v>
      </c>
      <c r="L781" s="46">
        <f t="shared" si="779"/>
        <v>0</v>
      </c>
      <c r="M781" s="46"/>
      <c r="N781" s="46">
        <f t="shared" si="4"/>
        <v>0</v>
      </c>
      <c r="O781" s="46">
        <f t="shared" si="5"/>
        <v>0</v>
      </c>
      <c r="P781" s="46" t="str">
        <f t="shared" si="6"/>
        <v/>
      </c>
      <c r="Q781" s="46"/>
      <c r="R781" s="14"/>
      <c r="S781" s="14"/>
      <c r="T781" s="14"/>
      <c r="U781" s="14"/>
      <c r="V781" s="14"/>
      <c r="W781" s="14"/>
      <c r="X781" s="14"/>
      <c r="Y781" s="14"/>
      <c r="Z781" s="14"/>
    </row>
    <row r="782" ht="12.75" customHeight="1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>
        <f t="shared" ref="K782:L782" si="780">H782/12</f>
        <v>0</v>
      </c>
      <c r="L782" s="46">
        <f t="shared" si="780"/>
        <v>0</v>
      </c>
      <c r="M782" s="46"/>
      <c r="N782" s="46">
        <f t="shared" si="4"/>
        <v>0</v>
      </c>
      <c r="O782" s="46">
        <f t="shared" si="5"/>
        <v>0</v>
      </c>
      <c r="P782" s="46" t="str">
        <f t="shared" si="6"/>
        <v/>
      </c>
      <c r="Q782" s="46"/>
      <c r="R782" s="14"/>
      <c r="S782" s="14"/>
      <c r="T782" s="14"/>
      <c r="U782" s="14"/>
      <c r="V782" s="14"/>
      <c r="W782" s="14"/>
      <c r="X782" s="14"/>
      <c r="Y782" s="14"/>
      <c r="Z782" s="14"/>
    </row>
    <row r="783" ht="12.75" customHeight="1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>
        <f t="shared" ref="K783:L783" si="781">H783/12</f>
        <v>0</v>
      </c>
      <c r="L783" s="46">
        <f t="shared" si="781"/>
        <v>0</v>
      </c>
      <c r="M783" s="46"/>
      <c r="N783" s="46">
        <f t="shared" si="4"/>
        <v>0</v>
      </c>
      <c r="O783" s="46">
        <f t="shared" si="5"/>
        <v>0</v>
      </c>
      <c r="P783" s="46" t="str">
        <f t="shared" si="6"/>
        <v/>
      </c>
      <c r="Q783" s="46"/>
      <c r="R783" s="14"/>
      <c r="S783" s="14"/>
      <c r="T783" s="14"/>
      <c r="U783" s="14"/>
      <c r="V783" s="14"/>
      <c r="W783" s="14"/>
      <c r="X783" s="14"/>
      <c r="Y783" s="14"/>
      <c r="Z783" s="14"/>
    </row>
    <row r="784" ht="12.75" customHeight="1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>
        <f t="shared" ref="K784:L784" si="782">H784/12</f>
        <v>0</v>
      </c>
      <c r="L784" s="46">
        <f t="shared" si="782"/>
        <v>0</v>
      </c>
      <c r="M784" s="46"/>
      <c r="N784" s="46">
        <f t="shared" si="4"/>
        <v>0</v>
      </c>
      <c r="O784" s="46">
        <f t="shared" si="5"/>
        <v>0</v>
      </c>
      <c r="P784" s="46" t="str">
        <f t="shared" si="6"/>
        <v/>
      </c>
      <c r="Q784" s="46"/>
      <c r="R784" s="14"/>
      <c r="S784" s="14"/>
      <c r="T784" s="14"/>
      <c r="U784" s="14"/>
      <c r="V784" s="14"/>
      <c r="W784" s="14"/>
      <c r="X784" s="14"/>
      <c r="Y784" s="14"/>
      <c r="Z784" s="14"/>
    </row>
    <row r="785" ht="12.75" customHeight="1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>
        <f t="shared" ref="K785:L785" si="783">H785/12</f>
        <v>0</v>
      </c>
      <c r="L785" s="46">
        <f t="shared" si="783"/>
        <v>0</v>
      </c>
      <c r="M785" s="46"/>
      <c r="N785" s="46">
        <f t="shared" si="4"/>
        <v>0</v>
      </c>
      <c r="O785" s="46">
        <f t="shared" si="5"/>
        <v>0</v>
      </c>
      <c r="P785" s="46" t="str">
        <f t="shared" si="6"/>
        <v/>
      </c>
      <c r="Q785" s="46"/>
      <c r="R785" s="14"/>
      <c r="S785" s="14"/>
      <c r="T785" s="14"/>
      <c r="U785" s="14"/>
      <c r="V785" s="14"/>
      <c r="W785" s="14"/>
      <c r="X785" s="14"/>
      <c r="Y785" s="14"/>
      <c r="Z785" s="14"/>
    </row>
    <row r="786" ht="12.75" customHeight="1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>
        <f t="shared" ref="K786:L786" si="784">H786/12</f>
        <v>0</v>
      </c>
      <c r="L786" s="46">
        <f t="shared" si="784"/>
        <v>0</v>
      </c>
      <c r="M786" s="46"/>
      <c r="N786" s="46">
        <f t="shared" si="4"/>
        <v>0</v>
      </c>
      <c r="O786" s="46">
        <f t="shared" si="5"/>
        <v>0</v>
      </c>
      <c r="P786" s="46" t="str">
        <f t="shared" si="6"/>
        <v/>
      </c>
      <c r="Q786" s="46"/>
      <c r="R786" s="14"/>
      <c r="S786" s="14"/>
      <c r="T786" s="14"/>
      <c r="U786" s="14"/>
      <c r="V786" s="14"/>
      <c r="W786" s="14"/>
      <c r="X786" s="14"/>
      <c r="Y786" s="14"/>
      <c r="Z786" s="14"/>
    </row>
    <row r="787" ht="12.75" customHeight="1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>
        <f t="shared" ref="K787:L787" si="785">H787/12</f>
        <v>0</v>
      </c>
      <c r="L787" s="46">
        <f t="shared" si="785"/>
        <v>0</v>
      </c>
      <c r="M787" s="46"/>
      <c r="N787" s="46">
        <f t="shared" si="4"/>
        <v>0</v>
      </c>
      <c r="O787" s="46">
        <f t="shared" si="5"/>
        <v>0</v>
      </c>
      <c r="P787" s="46" t="str">
        <f t="shared" si="6"/>
        <v/>
      </c>
      <c r="Q787" s="46"/>
      <c r="R787" s="14"/>
      <c r="S787" s="14"/>
      <c r="T787" s="14"/>
      <c r="U787" s="14"/>
      <c r="V787" s="14"/>
      <c r="W787" s="14"/>
      <c r="X787" s="14"/>
      <c r="Y787" s="14"/>
      <c r="Z787" s="14"/>
    </row>
    <row r="788" ht="12.75" customHeight="1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>
        <f t="shared" ref="K788:L788" si="786">H788/12</f>
        <v>0</v>
      </c>
      <c r="L788" s="46">
        <f t="shared" si="786"/>
        <v>0</v>
      </c>
      <c r="M788" s="46"/>
      <c r="N788" s="46">
        <f t="shared" si="4"/>
        <v>0</v>
      </c>
      <c r="O788" s="46">
        <f t="shared" si="5"/>
        <v>0</v>
      </c>
      <c r="P788" s="46" t="str">
        <f t="shared" si="6"/>
        <v/>
      </c>
      <c r="Q788" s="46"/>
      <c r="R788" s="14"/>
      <c r="S788" s="14"/>
      <c r="T788" s="14"/>
      <c r="U788" s="14"/>
      <c r="V788" s="14"/>
      <c r="W788" s="14"/>
      <c r="X788" s="14"/>
      <c r="Y788" s="14"/>
      <c r="Z788" s="14"/>
    </row>
    <row r="789" ht="12.75" customHeight="1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>
        <f t="shared" ref="K789:L789" si="787">H789/12</f>
        <v>0</v>
      </c>
      <c r="L789" s="46">
        <f t="shared" si="787"/>
        <v>0</v>
      </c>
      <c r="M789" s="46"/>
      <c r="N789" s="46">
        <f t="shared" si="4"/>
        <v>0</v>
      </c>
      <c r="O789" s="46">
        <f t="shared" si="5"/>
        <v>0</v>
      </c>
      <c r="P789" s="46" t="str">
        <f t="shared" si="6"/>
        <v/>
      </c>
      <c r="Q789" s="46"/>
      <c r="R789" s="14"/>
      <c r="S789" s="14"/>
      <c r="T789" s="14"/>
      <c r="U789" s="14"/>
      <c r="V789" s="14"/>
      <c r="W789" s="14"/>
      <c r="X789" s="14"/>
      <c r="Y789" s="14"/>
      <c r="Z789" s="14"/>
    </row>
    <row r="790" ht="12.75" customHeight="1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>
        <f t="shared" ref="K790:L790" si="788">H790/12</f>
        <v>0</v>
      </c>
      <c r="L790" s="46">
        <f t="shared" si="788"/>
        <v>0</v>
      </c>
      <c r="M790" s="46"/>
      <c r="N790" s="46">
        <f t="shared" si="4"/>
        <v>0</v>
      </c>
      <c r="O790" s="46">
        <f t="shared" si="5"/>
        <v>0</v>
      </c>
      <c r="P790" s="46" t="str">
        <f t="shared" si="6"/>
        <v/>
      </c>
      <c r="Q790" s="46"/>
      <c r="R790" s="14"/>
      <c r="S790" s="14"/>
      <c r="T790" s="14"/>
      <c r="U790" s="14"/>
      <c r="V790" s="14"/>
      <c r="W790" s="14"/>
      <c r="X790" s="14"/>
      <c r="Y790" s="14"/>
      <c r="Z790" s="14"/>
    </row>
    <row r="791" ht="12.75" customHeight="1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>
        <f t="shared" ref="K791:L791" si="789">H791/12</f>
        <v>0</v>
      </c>
      <c r="L791" s="46">
        <f t="shared" si="789"/>
        <v>0</v>
      </c>
      <c r="M791" s="46"/>
      <c r="N791" s="46">
        <f t="shared" si="4"/>
        <v>0</v>
      </c>
      <c r="O791" s="46">
        <f t="shared" si="5"/>
        <v>0</v>
      </c>
      <c r="P791" s="46" t="str">
        <f t="shared" si="6"/>
        <v/>
      </c>
      <c r="Q791" s="46"/>
      <c r="R791" s="14"/>
      <c r="S791" s="14"/>
      <c r="T791" s="14"/>
      <c r="U791" s="14"/>
      <c r="V791" s="14"/>
      <c r="W791" s="14"/>
      <c r="X791" s="14"/>
      <c r="Y791" s="14"/>
      <c r="Z791" s="14"/>
    </row>
    <row r="792" ht="12.75" customHeight="1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>
        <f t="shared" ref="K792:L792" si="790">H792/12</f>
        <v>0</v>
      </c>
      <c r="L792" s="46">
        <f t="shared" si="790"/>
        <v>0</v>
      </c>
      <c r="M792" s="46"/>
      <c r="N792" s="46">
        <f t="shared" si="4"/>
        <v>0</v>
      </c>
      <c r="O792" s="46">
        <f t="shared" si="5"/>
        <v>0</v>
      </c>
      <c r="P792" s="46" t="str">
        <f t="shared" si="6"/>
        <v/>
      </c>
      <c r="Q792" s="46"/>
      <c r="R792" s="14"/>
      <c r="S792" s="14"/>
      <c r="T792" s="14"/>
      <c r="U792" s="14"/>
      <c r="V792" s="14"/>
      <c r="W792" s="14"/>
      <c r="X792" s="14"/>
      <c r="Y792" s="14"/>
      <c r="Z792" s="14"/>
    </row>
    <row r="793" ht="12.75" customHeight="1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>
        <f t="shared" ref="K793:L793" si="791">H793/12</f>
        <v>0</v>
      </c>
      <c r="L793" s="46">
        <f t="shared" si="791"/>
        <v>0</v>
      </c>
      <c r="M793" s="46"/>
      <c r="N793" s="46">
        <f t="shared" si="4"/>
        <v>0</v>
      </c>
      <c r="O793" s="46">
        <f t="shared" si="5"/>
        <v>0</v>
      </c>
      <c r="P793" s="46" t="str">
        <f t="shared" si="6"/>
        <v/>
      </c>
      <c r="Q793" s="46"/>
      <c r="R793" s="14"/>
      <c r="S793" s="14"/>
      <c r="T793" s="14"/>
      <c r="U793" s="14"/>
      <c r="V793" s="14"/>
      <c r="W793" s="14"/>
      <c r="X793" s="14"/>
      <c r="Y793" s="14"/>
      <c r="Z793" s="14"/>
    </row>
    <row r="794" ht="12.75" customHeight="1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>
        <f t="shared" ref="K794:L794" si="792">H794/12</f>
        <v>0</v>
      </c>
      <c r="L794" s="46">
        <f t="shared" si="792"/>
        <v>0</v>
      </c>
      <c r="M794" s="46"/>
      <c r="N794" s="46">
        <f t="shared" si="4"/>
        <v>0</v>
      </c>
      <c r="O794" s="46">
        <f t="shared" si="5"/>
        <v>0</v>
      </c>
      <c r="P794" s="46" t="str">
        <f t="shared" si="6"/>
        <v/>
      </c>
      <c r="Q794" s="46"/>
      <c r="R794" s="14"/>
      <c r="S794" s="14"/>
      <c r="T794" s="14"/>
      <c r="U794" s="14"/>
      <c r="V794" s="14"/>
      <c r="W794" s="14"/>
      <c r="X794" s="14"/>
      <c r="Y794" s="14"/>
      <c r="Z794" s="14"/>
    </row>
    <row r="795" ht="12.75" customHeight="1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>
        <f t="shared" ref="K795:L795" si="793">H795/12</f>
        <v>0</v>
      </c>
      <c r="L795" s="46">
        <f t="shared" si="793"/>
        <v>0</v>
      </c>
      <c r="M795" s="46"/>
      <c r="N795" s="46">
        <f t="shared" si="4"/>
        <v>0</v>
      </c>
      <c r="O795" s="46">
        <f t="shared" si="5"/>
        <v>0</v>
      </c>
      <c r="P795" s="46" t="str">
        <f t="shared" si="6"/>
        <v/>
      </c>
      <c r="Q795" s="46"/>
      <c r="R795" s="14"/>
      <c r="S795" s="14"/>
      <c r="T795" s="14"/>
      <c r="U795" s="14"/>
      <c r="V795" s="14"/>
      <c r="W795" s="14"/>
      <c r="X795" s="14"/>
      <c r="Y795" s="14"/>
      <c r="Z795" s="14"/>
    </row>
    <row r="796" ht="12.75" customHeight="1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>
        <f t="shared" ref="K796:L796" si="794">H796/12</f>
        <v>0</v>
      </c>
      <c r="L796" s="46">
        <f t="shared" si="794"/>
        <v>0</v>
      </c>
      <c r="M796" s="46"/>
      <c r="N796" s="46">
        <f t="shared" si="4"/>
        <v>0</v>
      </c>
      <c r="O796" s="46">
        <f t="shared" si="5"/>
        <v>0</v>
      </c>
      <c r="P796" s="46" t="str">
        <f t="shared" si="6"/>
        <v/>
      </c>
      <c r="Q796" s="46"/>
      <c r="R796" s="14"/>
      <c r="S796" s="14"/>
      <c r="T796" s="14"/>
      <c r="U796" s="14"/>
      <c r="V796" s="14"/>
      <c r="W796" s="14"/>
      <c r="X796" s="14"/>
      <c r="Y796" s="14"/>
      <c r="Z796" s="14"/>
    </row>
    <row r="797" ht="12.75" customHeight="1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>
        <f t="shared" ref="K797:L797" si="795">H797/12</f>
        <v>0</v>
      </c>
      <c r="L797" s="46">
        <f t="shared" si="795"/>
        <v>0</v>
      </c>
      <c r="M797" s="46"/>
      <c r="N797" s="46">
        <f t="shared" si="4"/>
        <v>0</v>
      </c>
      <c r="O797" s="46">
        <f t="shared" si="5"/>
        <v>0</v>
      </c>
      <c r="P797" s="46" t="str">
        <f t="shared" si="6"/>
        <v/>
      </c>
      <c r="Q797" s="46"/>
      <c r="R797" s="14"/>
      <c r="S797" s="14"/>
      <c r="T797" s="14"/>
      <c r="U797" s="14"/>
      <c r="V797" s="14"/>
      <c r="W797" s="14"/>
      <c r="X797" s="14"/>
      <c r="Y797" s="14"/>
      <c r="Z797" s="14"/>
    </row>
    <row r="798" ht="12.75" customHeight="1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>
        <f t="shared" ref="K798:L798" si="796">H798/12</f>
        <v>0</v>
      </c>
      <c r="L798" s="46">
        <f t="shared" si="796"/>
        <v>0</v>
      </c>
      <c r="M798" s="46"/>
      <c r="N798" s="46">
        <f t="shared" si="4"/>
        <v>0</v>
      </c>
      <c r="O798" s="46">
        <f t="shared" si="5"/>
        <v>0</v>
      </c>
      <c r="P798" s="46" t="str">
        <f t="shared" si="6"/>
        <v/>
      </c>
      <c r="Q798" s="46"/>
      <c r="R798" s="14"/>
      <c r="S798" s="14"/>
      <c r="T798" s="14"/>
      <c r="U798" s="14"/>
      <c r="V798" s="14"/>
      <c r="W798" s="14"/>
      <c r="X798" s="14"/>
      <c r="Y798" s="14"/>
      <c r="Z798" s="14"/>
    </row>
    <row r="799" ht="12.75" customHeight="1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>
        <f t="shared" ref="K799:L799" si="797">H799/12</f>
        <v>0</v>
      </c>
      <c r="L799" s="46">
        <f t="shared" si="797"/>
        <v>0</v>
      </c>
      <c r="M799" s="46"/>
      <c r="N799" s="46">
        <f t="shared" si="4"/>
        <v>0</v>
      </c>
      <c r="O799" s="46">
        <f t="shared" si="5"/>
        <v>0</v>
      </c>
      <c r="P799" s="46" t="str">
        <f t="shared" si="6"/>
        <v/>
      </c>
      <c r="Q799" s="46"/>
      <c r="R799" s="14"/>
      <c r="S799" s="14"/>
      <c r="T799" s="14"/>
      <c r="U799" s="14"/>
      <c r="V799" s="14"/>
      <c r="W799" s="14"/>
      <c r="X799" s="14"/>
      <c r="Y799" s="14"/>
      <c r="Z799" s="14"/>
    </row>
    <row r="800" ht="12.75" customHeight="1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>
        <f t="shared" ref="K800:L800" si="798">H800/12</f>
        <v>0</v>
      </c>
      <c r="L800" s="46">
        <f t="shared" si="798"/>
        <v>0</v>
      </c>
      <c r="M800" s="46"/>
      <c r="N800" s="46">
        <f t="shared" si="4"/>
        <v>0</v>
      </c>
      <c r="O800" s="46">
        <f t="shared" si="5"/>
        <v>0</v>
      </c>
      <c r="P800" s="46" t="str">
        <f t="shared" si="6"/>
        <v/>
      </c>
      <c r="Q800" s="46"/>
      <c r="R800" s="14"/>
      <c r="S800" s="14"/>
      <c r="T800" s="14"/>
      <c r="U800" s="14"/>
      <c r="V800" s="14"/>
      <c r="W800" s="14"/>
      <c r="X800" s="14"/>
      <c r="Y800" s="14"/>
      <c r="Z800" s="14"/>
    </row>
    <row r="801" ht="12.75" customHeight="1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>
        <f t="shared" ref="K801:L801" si="799">H801/12</f>
        <v>0</v>
      </c>
      <c r="L801" s="46">
        <f t="shared" si="799"/>
        <v>0</v>
      </c>
      <c r="M801" s="46"/>
      <c r="N801" s="46">
        <f t="shared" si="4"/>
        <v>0</v>
      </c>
      <c r="O801" s="46">
        <f t="shared" si="5"/>
        <v>0</v>
      </c>
      <c r="P801" s="46" t="str">
        <f t="shared" si="6"/>
        <v/>
      </c>
      <c r="Q801" s="46"/>
      <c r="R801" s="14"/>
      <c r="S801" s="14"/>
      <c r="T801" s="14"/>
      <c r="U801" s="14"/>
      <c r="V801" s="14"/>
      <c r="W801" s="14"/>
      <c r="X801" s="14"/>
      <c r="Y801" s="14"/>
      <c r="Z801" s="14"/>
    </row>
    <row r="802" ht="12.75" customHeight="1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>
        <f t="shared" ref="K802:L802" si="800">H802/12</f>
        <v>0</v>
      </c>
      <c r="L802" s="46">
        <f t="shared" si="800"/>
        <v>0</v>
      </c>
      <c r="M802" s="46"/>
      <c r="N802" s="46">
        <f t="shared" si="4"/>
        <v>0</v>
      </c>
      <c r="O802" s="46">
        <f t="shared" si="5"/>
        <v>0</v>
      </c>
      <c r="P802" s="46" t="str">
        <f t="shared" si="6"/>
        <v/>
      </c>
      <c r="Q802" s="46"/>
      <c r="R802" s="14"/>
      <c r="S802" s="14"/>
      <c r="T802" s="14"/>
      <c r="U802" s="14"/>
      <c r="V802" s="14"/>
      <c r="W802" s="14"/>
      <c r="X802" s="14"/>
      <c r="Y802" s="14"/>
      <c r="Z802" s="14"/>
    </row>
    <row r="803" ht="12.75" customHeight="1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>
        <f t="shared" ref="K803:L803" si="801">H803/12</f>
        <v>0</v>
      </c>
      <c r="L803" s="46">
        <f t="shared" si="801"/>
        <v>0</v>
      </c>
      <c r="M803" s="46"/>
      <c r="N803" s="46">
        <f t="shared" si="4"/>
        <v>0</v>
      </c>
      <c r="O803" s="46">
        <f t="shared" si="5"/>
        <v>0</v>
      </c>
      <c r="P803" s="46" t="str">
        <f t="shared" si="6"/>
        <v/>
      </c>
      <c r="Q803" s="46"/>
      <c r="R803" s="14"/>
      <c r="S803" s="14"/>
      <c r="T803" s="14"/>
      <c r="U803" s="14"/>
      <c r="V803" s="14"/>
      <c r="W803" s="14"/>
      <c r="X803" s="14"/>
      <c r="Y803" s="14"/>
      <c r="Z803" s="14"/>
    </row>
    <row r="804" ht="12.75" customHeight="1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>
        <f t="shared" ref="K804:L804" si="802">H804/12</f>
        <v>0</v>
      </c>
      <c r="L804" s="46">
        <f t="shared" si="802"/>
        <v>0</v>
      </c>
      <c r="M804" s="46"/>
      <c r="N804" s="46">
        <f t="shared" si="4"/>
        <v>0</v>
      </c>
      <c r="O804" s="46">
        <f t="shared" si="5"/>
        <v>0</v>
      </c>
      <c r="P804" s="46" t="str">
        <f t="shared" si="6"/>
        <v/>
      </c>
      <c r="Q804" s="46"/>
      <c r="R804" s="14"/>
      <c r="S804" s="14"/>
      <c r="T804" s="14"/>
      <c r="U804" s="14"/>
      <c r="V804" s="14"/>
      <c r="W804" s="14"/>
      <c r="X804" s="14"/>
      <c r="Y804" s="14"/>
      <c r="Z804" s="14"/>
    </row>
    <row r="805" ht="12.75" customHeight="1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>
        <f t="shared" ref="K805:L805" si="803">H805/12</f>
        <v>0</v>
      </c>
      <c r="L805" s="46">
        <f t="shared" si="803"/>
        <v>0</v>
      </c>
      <c r="M805" s="46"/>
      <c r="N805" s="46">
        <f t="shared" si="4"/>
        <v>0</v>
      </c>
      <c r="O805" s="46">
        <f t="shared" si="5"/>
        <v>0</v>
      </c>
      <c r="P805" s="46" t="str">
        <f t="shared" si="6"/>
        <v/>
      </c>
      <c r="Q805" s="46"/>
      <c r="R805" s="14"/>
      <c r="S805" s="14"/>
      <c r="T805" s="14"/>
      <c r="U805" s="14"/>
      <c r="V805" s="14"/>
      <c r="W805" s="14"/>
      <c r="X805" s="14"/>
      <c r="Y805" s="14"/>
      <c r="Z805" s="14"/>
    </row>
    <row r="806" ht="12.75" customHeight="1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>
        <f t="shared" ref="K806:L806" si="804">H806/12</f>
        <v>0</v>
      </c>
      <c r="L806" s="46">
        <f t="shared" si="804"/>
        <v>0</v>
      </c>
      <c r="M806" s="46"/>
      <c r="N806" s="46">
        <f t="shared" si="4"/>
        <v>0</v>
      </c>
      <c r="O806" s="46">
        <f t="shared" si="5"/>
        <v>0</v>
      </c>
      <c r="P806" s="46" t="str">
        <f t="shared" si="6"/>
        <v/>
      </c>
      <c r="Q806" s="46"/>
      <c r="R806" s="14"/>
      <c r="S806" s="14"/>
      <c r="T806" s="14"/>
      <c r="U806" s="14"/>
      <c r="V806" s="14"/>
      <c r="W806" s="14"/>
      <c r="X806" s="14"/>
      <c r="Y806" s="14"/>
      <c r="Z806" s="14"/>
    </row>
    <row r="807" ht="12.75" customHeight="1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>
        <f t="shared" ref="K807:L807" si="805">H807/12</f>
        <v>0</v>
      </c>
      <c r="L807" s="46">
        <f t="shared" si="805"/>
        <v>0</v>
      </c>
      <c r="M807" s="46"/>
      <c r="N807" s="46">
        <f t="shared" si="4"/>
        <v>0</v>
      </c>
      <c r="O807" s="46">
        <f t="shared" si="5"/>
        <v>0</v>
      </c>
      <c r="P807" s="46" t="str">
        <f t="shared" si="6"/>
        <v/>
      </c>
      <c r="Q807" s="46"/>
      <c r="R807" s="14"/>
      <c r="S807" s="14"/>
      <c r="T807" s="14"/>
      <c r="U807" s="14"/>
      <c r="V807" s="14"/>
      <c r="W807" s="14"/>
      <c r="X807" s="14"/>
      <c r="Y807" s="14"/>
      <c r="Z807" s="14"/>
    </row>
    <row r="808" ht="12.75" customHeight="1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>
        <f t="shared" ref="K808:L808" si="806">H808/12</f>
        <v>0</v>
      </c>
      <c r="L808" s="46">
        <f t="shared" si="806"/>
        <v>0</v>
      </c>
      <c r="M808" s="46"/>
      <c r="N808" s="46">
        <f t="shared" si="4"/>
        <v>0</v>
      </c>
      <c r="O808" s="46">
        <f t="shared" si="5"/>
        <v>0</v>
      </c>
      <c r="P808" s="46" t="str">
        <f t="shared" si="6"/>
        <v/>
      </c>
      <c r="Q808" s="46"/>
      <c r="R808" s="14"/>
      <c r="S808" s="14"/>
      <c r="T808" s="14"/>
      <c r="U808" s="14"/>
      <c r="V808" s="14"/>
      <c r="W808" s="14"/>
      <c r="X808" s="14"/>
      <c r="Y808" s="14"/>
      <c r="Z808" s="14"/>
    </row>
    <row r="809" ht="12.75" customHeight="1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>
        <f t="shared" ref="K809:L809" si="807">H809/12</f>
        <v>0</v>
      </c>
      <c r="L809" s="46">
        <f t="shared" si="807"/>
        <v>0</v>
      </c>
      <c r="M809" s="46"/>
      <c r="N809" s="46">
        <f t="shared" si="4"/>
        <v>0</v>
      </c>
      <c r="O809" s="46">
        <f t="shared" si="5"/>
        <v>0</v>
      </c>
      <c r="P809" s="46" t="str">
        <f t="shared" si="6"/>
        <v/>
      </c>
      <c r="Q809" s="46"/>
      <c r="R809" s="14"/>
      <c r="S809" s="14"/>
      <c r="T809" s="14"/>
      <c r="U809" s="14"/>
      <c r="V809" s="14"/>
      <c r="W809" s="14"/>
      <c r="X809" s="14"/>
      <c r="Y809" s="14"/>
      <c r="Z809" s="14"/>
    </row>
    <row r="810" ht="12.75" customHeight="1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>
        <f t="shared" ref="K810:L810" si="808">H810/12</f>
        <v>0</v>
      </c>
      <c r="L810" s="46">
        <f t="shared" si="808"/>
        <v>0</v>
      </c>
      <c r="M810" s="46"/>
      <c r="N810" s="46">
        <f t="shared" si="4"/>
        <v>0</v>
      </c>
      <c r="O810" s="46">
        <f t="shared" si="5"/>
        <v>0</v>
      </c>
      <c r="P810" s="46" t="str">
        <f t="shared" si="6"/>
        <v/>
      </c>
      <c r="Q810" s="46"/>
      <c r="R810" s="14"/>
      <c r="S810" s="14"/>
      <c r="T810" s="14"/>
      <c r="U810" s="14"/>
      <c r="V810" s="14"/>
      <c r="W810" s="14"/>
      <c r="X810" s="14"/>
      <c r="Y810" s="14"/>
      <c r="Z810" s="14"/>
    </row>
    <row r="811" ht="12.75" customHeight="1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>
        <f t="shared" ref="K811:L811" si="809">H811/12</f>
        <v>0</v>
      </c>
      <c r="L811" s="46">
        <f t="shared" si="809"/>
        <v>0</v>
      </c>
      <c r="M811" s="46"/>
      <c r="N811" s="46">
        <f t="shared" si="4"/>
        <v>0</v>
      </c>
      <c r="O811" s="46">
        <f t="shared" si="5"/>
        <v>0</v>
      </c>
      <c r="P811" s="46" t="str">
        <f t="shared" si="6"/>
        <v/>
      </c>
      <c r="Q811" s="46"/>
      <c r="R811" s="14"/>
      <c r="S811" s="14"/>
      <c r="T811" s="14"/>
      <c r="U811" s="14"/>
      <c r="V811" s="14"/>
      <c r="W811" s="14"/>
      <c r="X811" s="14"/>
      <c r="Y811" s="14"/>
      <c r="Z811" s="14"/>
    </row>
    <row r="812" ht="12.75" customHeight="1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>
        <f t="shared" ref="K812:L812" si="810">H812/12</f>
        <v>0</v>
      </c>
      <c r="L812" s="46">
        <f t="shared" si="810"/>
        <v>0</v>
      </c>
      <c r="M812" s="46"/>
      <c r="N812" s="46">
        <f t="shared" si="4"/>
        <v>0</v>
      </c>
      <c r="O812" s="46">
        <f t="shared" si="5"/>
        <v>0</v>
      </c>
      <c r="P812" s="46" t="str">
        <f t="shared" si="6"/>
        <v/>
      </c>
      <c r="Q812" s="46"/>
      <c r="R812" s="14"/>
      <c r="S812" s="14"/>
      <c r="T812" s="14"/>
      <c r="U812" s="14"/>
      <c r="V812" s="14"/>
      <c r="W812" s="14"/>
      <c r="X812" s="14"/>
      <c r="Y812" s="14"/>
      <c r="Z812" s="14"/>
    </row>
    <row r="813" ht="12.75" customHeight="1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>
        <f t="shared" ref="K813:L813" si="811">H813/12</f>
        <v>0</v>
      </c>
      <c r="L813" s="46">
        <f t="shared" si="811"/>
        <v>0</v>
      </c>
      <c r="M813" s="46"/>
      <c r="N813" s="46">
        <f t="shared" si="4"/>
        <v>0</v>
      </c>
      <c r="O813" s="46">
        <f t="shared" si="5"/>
        <v>0</v>
      </c>
      <c r="P813" s="46" t="str">
        <f t="shared" si="6"/>
        <v/>
      </c>
      <c r="Q813" s="46"/>
      <c r="R813" s="14"/>
      <c r="S813" s="14"/>
      <c r="T813" s="14"/>
      <c r="U813" s="14"/>
      <c r="V813" s="14"/>
      <c r="W813" s="14"/>
      <c r="X813" s="14"/>
      <c r="Y813" s="14"/>
      <c r="Z813" s="14"/>
    </row>
    <row r="814" ht="12.75" customHeight="1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>
        <f t="shared" ref="K814:L814" si="812">H814/12</f>
        <v>0</v>
      </c>
      <c r="L814" s="46">
        <f t="shared" si="812"/>
        <v>0</v>
      </c>
      <c r="M814" s="46"/>
      <c r="N814" s="46">
        <f t="shared" si="4"/>
        <v>0</v>
      </c>
      <c r="O814" s="46">
        <f t="shared" si="5"/>
        <v>0</v>
      </c>
      <c r="P814" s="46" t="str">
        <f t="shared" si="6"/>
        <v/>
      </c>
      <c r="Q814" s="46"/>
      <c r="R814" s="14"/>
      <c r="S814" s="14"/>
      <c r="T814" s="14"/>
      <c r="U814" s="14"/>
      <c r="V814" s="14"/>
      <c r="W814" s="14"/>
      <c r="X814" s="14"/>
      <c r="Y814" s="14"/>
      <c r="Z814" s="14"/>
    </row>
    <row r="815" ht="12.75" customHeight="1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>
        <f t="shared" ref="K815:L815" si="813">H815/12</f>
        <v>0</v>
      </c>
      <c r="L815" s="46">
        <f t="shared" si="813"/>
        <v>0</v>
      </c>
      <c r="M815" s="46"/>
      <c r="N815" s="46">
        <f t="shared" si="4"/>
        <v>0</v>
      </c>
      <c r="O815" s="46">
        <f t="shared" si="5"/>
        <v>0</v>
      </c>
      <c r="P815" s="46" t="str">
        <f t="shared" si="6"/>
        <v/>
      </c>
      <c r="Q815" s="46"/>
      <c r="R815" s="14"/>
      <c r="S815" s="14"/>
      <c r="T815" s="14"/>
      <c r="U815" s="14"/>
      <c r="V815" s="14"/>
      <c r="W815" s="14"/>
      <c r="X815" s="14"/>
      <c r="Y815" s="14"/>
      <c r="Z815" s="14"/>
    </row>
    <row r="816" ht="12.75" customHeight="1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>
        <f t="shared" ref="K816:L816" si="814">H816/12</f>
        <v>0</v>
      </c>
      <c r="L816" s="46">
        <f t="shared" si="814"/>
        <v>0</v>
      </c>
      <c r="M816" s="46"/>
      <c r="N816" s="46">
        <f t="shared" si="4"/>
        <v>0</v>
      </c>
      <c r="O816" s="46">
        <f t="shared" si="5"/>
        <v>0</v>
      </c>
      <c r="P816" s="46" t="str">
        <f t="shared" si="6"/>
        <v/>
      </c>
      <c r="Q816" s="46"/>
      <c r="R816" s="14"/>
      <c r="S816" s="14"/>
      <c r="T816" s="14"/>
      <c r="U816" s="14"/>
      <c r="V816" s="14"/>
      <c r="W816" s="14"/>
      <c r="X816" s="14"/>
      <c r="Y816" s="14"/>
      <c r="Z816" s="14"/>
    </row>
    <row r="817" ht="12.75" customHeight="1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>
        <f t="shared" ref="K817:L817" si="815">H817/12</f>
        <v>0</v>
      </c>
      <c r="L817" s="46">
        <f t="shared" si="815"/>
        <v>0</v>
      </c>
      <c r="M817" s="46"/>
      <c r="N817" s="46">
        <f t="shared" si="4"/>
        <v>0</v>
      </c>
      <c r="O817" s="46">
        <f t="shared" si="5"/>
        <v>0</v>
      </c>
      <c r="P817" s="46" t="str">
        <f t="shared" si="6"/>
        <v/>
      </c>
      <c r="Q817" s="46"/>
      <c r="R817" s="14"/>
      <c r="S817" s="14"/>
      <c r="T817" s="14"/>
      <c r="U817" s="14"/>
      <c r="V817" s="14"/>
      <c r="W817" s="14"/>
      <c r="X817" s="14"/>
      <c r="Y817" s="14"/>
      <c r="Z817" s="14"/>
    </row>
    <row r="818" ht="12.75" customHeight="1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>
        <f t="shared" ref="K818:L818" si="816">H818/12</f>
        <v>0</v>
      </c>
      <c r="L818" s="46">
        <f t="shared" si="816"/>
        <v>0</v>
      </c>
      <c r="M818" s="46"/>
      <c r="N818" s="46">
        <f t="shared" si="4"/>
        <v>0</v>
      </c>
      <c r="O818" s="46">
        <f t="shared" si="5"/>
        <v>0</v>
      </c>
      <c r="P818" s="46" t="str">
        <f t="shared" si="6"/>
        <v/>
      </c>
      <c r="Q818" s="46"/>
      <c r="R818" s="14"/>
      <c r="S818" s="14"/>
      <c r="T818" s="14"/>
      <c r="U818" s="14"/>
      <c r="V818" s="14"/>
      <c r="W818" s="14"/>
      <c r="X818" s="14"/>
      <c r="Y818" s="14"/>
      <c r="Z818" s="14"/>
    </row>
    <row r="819" ht="12.75" customHeight="1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>
        <f t="shared" ref="K819:L819" si="817">H819/12</f>
        <v>0</v>
      </c>
      <c r="L819" s="46">
        <f t="shared" si="817"/>
        <v>0</v>
      </c>
      <c r="M819" s="46"/>
      <c r="N819" s="46">
        <f t="shared" si="4"/>
        <v>0</v>
      </c>
      <c r="O819" s="46">
        <f t="shared" si="5"/>
        <v>0</v>
      </c>
      <c r="P819" s="46" t="str">
        <f t="shared" si="6"/>
        <v/>
      </c>
      <c r="Q819" s="46"/>
      <c r="R819" s="14"/>
      <c r="S819" s="14"/>
      <c r="T819" s="14"/>
      <c r="U819" s="14"/>
      <c r="V819" s="14"/>
      <c r="W819" s="14"/>
      <c r="X819" s="14"/>
      <c r="Y819" s="14"/>
      <c r="Z819" s="14"/>
    </row>
    <row r="820" ht="12.75" customHeight="1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>
        <f t="shared" ref="K820:L820" si="818">H820/12</f>
        <v>0</v>
      </c>
      <c r="L820" s="46">
        <f t="shared" si="818"/>
        <v>0</v>
      </c>
      <c r="M820" s="46"/>
      <c r="N820" s="46">
        <f t="shared" si="4"/>
        <v>0</v>
      </c>
      <c r="O820" s="46">
        <f t="shared" si="5"/>
        <v>0</v>
      </c>
      <c r="P820" s="46" t="str">
        <f t="shared" si="6"/>
        <v/>
      </c>
      <c r="Q820" s="46"/>
      <c r="R820" s="14"/>
      <c r="S820" s="14"/>
      <c r="T820" s="14"/>
      <c r="U820" s="14"/>
      <c r="V820" s="14"/>
      <c r="W820" s="14"/>
      <c r="X820" s="14"/>
      <c r="Y820" s="14"/>
      <c r="Z820" s="14"/>
    </row>
    <row r="821" ht="12.75" customHeight="1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>
        <f t="shared" ref="K821:L821" si="819">H821/12</f>
        <v>0</v>
      </c>
      <c r="L821" s="46">
        <f t="shared" si="819"/>
        <v>0</v>
      </c>
      <c r="M821" s="46"/>
      <c r="N821" s="46">
        <f t="shared" si="4"/>
        <v>0</v>
      </c>
      <c r="O821" s="46">
        <f t="shared" si="5"/>
        <v>0</v>
      </c>
      <c r="P821" s="46" t="str">
        <f t="shared" si="6"/>
        <v/>
      </c>
      <c r="Q821" s="46"/>
      <c r="R821" s="14"/>
      <c r="S821" s="14"/>
      <c r="T821" s="14"/>
      <c r="U821" s="14"/>
      <c r="V821" s="14"/>
      <c r="W821" s="14"/>
      <c r="X821" s="14"/>
      <c r="Y821" s="14"/>
      <c r="Z821" s="14"/>
    </row>
    <row r="822" ht="12.75" customHeight="1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>
        <f t="shared" ref="K822:L822" si="820">H822/12</f>
        <v>0</v>
      </c>
      <c r="L822" s="46">
        <f t="shared" si="820"/>
        <v>0</v>
      </c>
      <c r="M822" s="46"/>
      <c r="N822" s="46">
        <f t="shared" si="4"/>
        <v>0</v>
      </c>
      <c r="O822" s="46">
        <f t="shared" si="5"/>
        <v>0</v>
      </c>
      <c r="P822" s="46" t="str">
        <f t="shared" si="6"/>
        <v/>
      </c>
      <c r="Q822" s="46"/>
      <c r="R822" s="14"/>
      <c r="S822" s="14"/>
      <c r="T822" s="14"/>
      <c r="U822" s="14"/>
      <c r="V822" s="14"/>
      <c r="W822" s="14"/>
      <c r="X822" s="14"/>
      <c r="Y822" s="14"/>
      <c r="Z822" s="14"/>
    </row>
    <row r="823" ht="12.75" customHeight="1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>
        <f t="shared" ref="K823:L823" si="821">H823/12</f>
        <v>0</v>
      </c>
      <c r="L823" s="46">
        <f t="shared" si="821"/>
        <v>0</v>
      </c>
      <c r="M823" s="46"/>
      <c r="N823" s="46">
        <f t="shared" si="4"/>
        <v>0</v>
      </c>
      <c r="O823" s="46">
        <f t="shared" si="5"/>
        <v>0</v>
      </c>
      <c r="P823" s="46" t="str">
        <f t="shared" si="6"/>
        <v/>
      </c>
      <c r="Q823" s="46"/>
      <c r="R823" s="14"/>
      <c r="S823" s="14"/>
      <c r="T823" s="14"/>
      <c r="U823" s="14"/>
      <c r="V823" s="14"/>
      <c r="W823" s="14"/>
      <c r="X823" s="14"/>
      <c r="Y823" s="14"/>
      <c r="Z823" s="14"/>
    </row>
    <row r="824" ht="12.75" customHeight="1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>
        <f t="shared" ref="K824:L824" si="822">H824/12</f>
        <v>0</v>
      </c>
      <c r="L824" s="46">
        <f t="shared" si="822"/>
        <v>0</v>
      </c>
      <c r="M824" s="46"/>
      <c r="N824" s="46">
        <f t="shared" si="4"/>
        <v>0</v>
      </c>
      <c r="O824" s="46">
        <f t="shared" si="5"/>
        <v>0</v>
      </c>
      <c r="P824" s="46" t="str">
        <f t="shared" si="6"/>
        <v/>
      </c>
      <c r="Q824" s="46"/>
      <c r="R824" s="14"/>
      <c r="S824" s="14"/>
      <c r="T824" s="14"/>
      <c r="U824" s="14"/>
      <c r="V824" s="14"/>
      <c r="W824" s="14"/>
      <c r="X824" s="14"/>
      <c r="Y824" s="14"/>
      <c r="Z824" s="14"/>
    </row>
    <row r="825" ht="12.75" customHeight="1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>
        <f t="shared" ref="K825:L825" si="823">H825/12</f>
        <v>0</v>
      </c>
      <c r="L825" s="46">
        <f t="shared" si="823"/>
        <v>0</v>
      </c>
      <c r="M825" s="46"/>
      <c r="N825" s="46">
        <f t="shared" si="4"/>
        <v>0</v>
      </c>
      <c r="O825" s="46">
        <f t="shared" si="5"/>
        <v>0</v>
      </c>
      <c r="P825" s="46" t="str">
        <f t="shared" si="6"/>
        <v/>
      </c>
      <c r="Q825" s="46"/>
      <c r="R825" s="14"/>
      <c r="S825" s="14"/>
      <c r="T825" s="14"/>
      <c r="U825" s="14"/>
      <c r="V825" s="14"/>
      <c r="W825" s="14"/>
      <c r="X825" s="14"/>
      <c r="Y825" s="14"/>
      <c r="Z825" s="14"/>
    </row>
    <row r="826" ht="12.75" customHeight="1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>
        <f t="shared" ref="K826:L826" si="824">H826/12</f>
        <v>0</v>
      </c>
      <c r="L826" s="46">
        <f t="shared" si="824"/>
        <v>0</v>
      </c>
      <c r="M826" s="46"/>
      <c r="N826" s="46">
        <f t="shared" si="4"/>
        <v>0</v>
      </c>
      <c r="O826" s="46">
        <f t="shared" si="5"/>
        <v>0</v>
      </c>
      <c r="P826" s="46" t="str">
        <f t="shared" si="6"/>
        <v/>
      </c>
      <c r="Q826" s="46"/>
      <c r="R826" s="14"/>
      <c r="S826" s="14"/>
      <c r="T826" s="14"/>
      <c r="U826" s="14"/>
      <c r="V826" s="14"/>
      <c r="W826" s="14"/>
      <c r="X826" s="14"/>
      <c r="Y826" s="14"/>
      <c r="Z826" s="14"/>
    </row>
    <row r="827" ht="12.75" customHeight="1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>
        <f t="shared" ref="K827:L827" si="825">H827/12</f>
        <v>0</v>
      </c>
      <c r="L827" s="46">
        <f t="shared" si="825"/>
        <v>0</v>
      </c>
      <c r="M827" s="46"/>
      <c r="N827" s="46">
        <f t="shared" si="4"/>
        <v>0</v>
      </c>
      <c r="O827" s="46">
        <f t="shared" si="5"/>
        <v>0</v>
      </c>
      <c r="P827" s="46" t="str">
        <f t="shared" si="6"/>
        <v/>
      </c>
      <c r="Q827" s="46"/>
      <c r="R827" s="14"/>
      <c r="S827" s="14"/>
      <c r="T827" s="14"/>
      <c r="U827" s="14"/>
      <c r="V827" s="14"/>
      <c r="W827" s="14"/>
      <c r="X827" s="14"/>
      <c r="Y827" s="14"/>
      <c r="Z827" s="14"/>
    </row>
    <row r="828" ht="12.75" customHeight="1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>
        <f t="shared" ref="K828:L828" si="826">H828/12</f>
        <v>0</v>
      </c>
      <c r="L828" s="46">
        <f t="shared" si="826"/>
        <v>0</v>
      </c>
      <c r="M828" s="46"/>
      <c r="N828" s="46">
        <f t="shared" si="4"/>
        <v>0</v>
      </c>
      <c r="O828" s="46">
        <f t="shared" si="5"/>
        <v>0</v>
      </c>
      <c r="P828" s="46" t="str">
        <f t="shared" si="6"/>
        <v/>
      </c>
      <c r="Q828" s="46"/>
      <c r="R828" s="14"/>
      <c r="S828" s="14"/>
      <c r="T828" s="14"/>
      <c r="U828" s="14"/>
      <c r="V828" s="14"/>
      <c r="W828" s="14"/>
      <c r="X828" s="14"/>
      <c r="Y828" s="14"/>
      <c r="Z828" s="14"/>
    </row>
    <row r="829" ht="12.75" customHeight="1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>
        <f t="shared" ref="K829:L829" si="827">H829/12</f>
        <v>0</v>
      </c>
      <c r="L829" s="46">
        <f t="shared" si="827"/>
        <v>0</v>
      </c>
      <c r="M829" s="46"/>
      <c r="N829" s="46">
        <f t="shared" si="4"/>
        <v>0</v>
      </c>
      <c r="O829" s="46">
        <f t="shared" si="5"/>
        <v>0</v>
      </c>
      <c r="P829" s="46" t="str">
        <f t="shared" si="6"/>
        <v/>
      </c>
      <c r="Q829" s="46"/>
      <c r="R829" s="14"/>
      <c r="S829" s="14"/>
      <c r="T829" s="14"/>
      <c r="U829" s="14"/>
      <c r="V829" s="14"/>
      <c r="W829" s="14"/>
      <c r="X829" s="14"/>
      <c r="Y829" s="14"/>
      <c r="Z829" s="14"/>
    </row>
    <row r="830" ht="12.75" customHeight="1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>
        <f t="shared" ref="K830:L830" si="828">H830/12</f>
        <v>0</v>
      </c>
      <c r="L830" s="46">
        <f t="shared" si="828"/>
        <v>0</v>
      </c>
      <c r="M830" s="46"/>
      <c r="N830" s="46">
        <f t="shared" si="4"/>
        <v>0</v>
      </c>
      <c r="O830" s="46">
        <f t="shared" si="5"/>
        <v>0</v>
      </c>
      <c r="P830" s="46" t="str">
        <f t="shared" si="6"/>
        <v/>
      </c>
      <c r="Q830" s="46"/>
      <c r="R830" s="14"/>
      <c r="S830" s="14"/>
      <c r="T830" s="14"/>
      <c r="U830" s="14"/>
      <c r="V830" s="14"/>
      <c r="W830" s="14"/>
      <c r="X830" s="14"/>
      <c r="Y830" s="14"/>
      <c r="Z830" s="14"/>
    </row>
    <row r="831" ht="12.75" customHeight="1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>
        <f t="shared" ref="K831:L831" si="829">H831/12</f>
        <v>0</v>
      </c>
      <c r="L831" s="46">
        <f t="shared" si="829"/>
        <v>0</v>
      </c>
      <c r="M831" s="46"/>
      <c r="N831" s="46">
        <f t="shared" si="4"/>
        <v>0</v>
      </c>
      <c r="O831" s="46">
        <f t="shared" si="5"/>
        <v>0</v>
      </c>
      <c r="P831" s="46" t="str">
        <f t="shared" si="6"/>
        <v/>
      </c>
      <c r="Q831" s="46"/>
      <c r="R831" s="14"/>
      <c r="S831" s="14"/>
      <c r="T831" s="14"/>
      <c r="U831" s="14"/>
      <c r="V831" s="14"/>
      <c r="W831" s="14"/>
      <c r="X831" s="14"/>
      <c r="Y831" s="14"/>
      <c r="Z831" s="14"/>
    </row>
    <row r="832" ht="12.75" customHeight="1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>
        <f t="shared" ref="K832:L832" si="830">H832/12</f>
        <v>0</v>
      </c>
      <c r="L832" s="46">
        <f t="shared" si="830"/>
        <v>0</v>
      </c>
      <c r="M832" s="46"/>
      <c r="N832" s="46">
        <f t="shared" si="4"/>
        <v>0</v>
      </c>
      <c r="O832" s="46">
        <f t="shared" si="5"/>
        <v>0</v>
      </c>
      <c r="P832" s="46" t="str">
        <f t="shared" si="6"/>
        <v/>
      </c>
      <c r="Q832" s="46"/>
      <c r="R832" s="14"/>
      <c r="S832" s="14"/>
      <c r="T832" s="14"/>
      <c r="U832" s="14"/>
      <c r="V832" s="14"/>
      <c r="W832" s="14"/>
      <c r="X832" s="14"/>
      <c r="Y832" s="14"/>
      <c r="Z832" s="14"/>
    </row>
    <row r="833" ht="12.75" customHeight="1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>
        <f t="shared" ref="K833:L833" si="831">H833/12</f>
        <v>0</v>
      </c>
      <c r="L833" s="46">
        <f t="shared" si="831"/>
        <v>0</v>
      </c>
      <c r="M833" s="46"/>
      <c r="N833" s="46">
        <f t="shared" si="4"/>
        <v>0</v>
      </c>
      <c r="O833" s="46">
        <f t="shared" si="5"/>
        <v>0</v>
      </c>
      <c r="P833" s="46" t="str">
        <f t="shared" si="6"/>
        <v/>
      </c>
      <c r="Q833" s="46"/>
      <c r="R833" s="14"/>
      <c r="S833" s="14"/>
      <c r="T833" s="14"/>
      <c r="U833" s="14"/>
      <c r="V833" s="14"/>
      <c r="W833" s="14"/>
      <c r="X833" s="14"/>
      <c r="Y833" s="14"/>
      <c r="Z833" s="14"/>
    </row>
    <row r="834" ht="12.75" customHeight="1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>
        <f t="shared" ref="K834:L834" si="832">H834/12</f>
        <v>0</v>
      </c>
      <c r="L834" s="46">
        <f t="shared" si="832"/>
        <v>0</v>
      </c>
      <c r="M834" s="46"/>
      <c r="N834" s="46">
        <f t="shared" si="4"/>
        <v>0</v>
      </c>
      <c r="O834" s="46">
        <f t="shared" si="5"/>
        <v>0</v>
      </c>
      <c r="P834" s="46" t="str">
        <f t="shared" si="6"/>
        <v/>
      </c>
      <c r="Q834" s="46"/>
      <c r="R834" s="14"/>
      <c r="S834" s="14"/>
      <c r="T834" s="14"/>
      <c r="U834" s="14"/>
      <c r="V834" s="14"/>
      <c r="W834" s="14"/>
      <c r="X834" s="14"/>
      <c r="Y834" s="14"/>
      <c r="Z834" s="14"/>
    </row>
    <row r="835" ht="12.75" customHeight="1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>
        <f t="shared" ref="K835:L835" si="833">H835/12</f>
        <v>0</v>
      </c>
      <c r="L835" s="46">
        <f t="shared" si="833"/>
        <v>0</v>
      </c>
      <c r="M835" s="46"/>
      <c r="N835" s="46">
        <f t="shared" si="4"/>
        <v>0</v>
      </c>
      <c r="O835" s="46">
        <f t="shared" si="5"/>
        <v>0</v>
      </c>
      <c r="P835" s="46" t="str">
        <f t="shared" si="6"/>
        <v/>
      </c>
      <c r="Q835" s="46"/>
      <c r="R835" s="14"/>
      <c r="S835" s="14"/>
      <c r="T835" s="14"/>
      <c r="U835" s="14"/>
      <c r="V835" s="14"/>
      <c r="W835" s="14"/>
      <c r="X835" s="14"/>
      <c r="Y835" s="14"/>
      <c r="Z835" s="14"/>
    </row>
    <row r="836" ht="12.75" customHeight="1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>
        <f t="shared" ref="K836:L836" si="834">H836/12</f>
        <v>0</v>
      </c>
      <c r="L836" s="46">
        <f t="shared" si="834"/>
        <v>0</v>
      </c>
      <c r="M836" s="46"/>
      <c r="N836" s="46">
        <f t="shared" si="4"/>
        <v>0</v>
      </c>
      <c r="O836" s="46">
        <f t="shared" si="5"/>
        <v>0</v>
      </c>
      <c r="P836" s="46" t="str">
        <f t="shared" si="6"/>
        <v/>
      </c>
      <c r="Q836" s="46"/>
      <c r="R836" s="14"/>
      <c r="S836" s="14"/>
      <c r="T836" s="14"/>
      <c r="U836" s="14"/>
      <c r="V836" s="14"/>
      <c r="W836" s="14"/>
      <c r="X836" s="14"/>
      <c r="Y836" s="14"/>
      <c r="Z836" s="14"/>
    </row>
    <row r="837" ht="12.75" customHeight="1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>
        <f t="shared" ref="K837:L837" si="835">H837/12</f>
        <v>0</v>
      </c>
      <c r="L837" s="46">
        <f t="shared" si="835"/>
        <v>0</v>
      </c>
      <c r="M837" s="46"/>
      <c r="N837" s="46">
        <f t="shared" si="4"/>
        <v>0</v>
      </c>
      <c r="O837" s="46">
        <f t="shared" si="5"/>
        <v>0</v>
      </c>
      <c r="P837" s="46" t="str">
        <f t="shared" si="6"/>
        <v/>
      </c>
      <c r="Q837" s="46"/>
      <c r="R837" s="14"/>
      <c r="S837" s="14"/>
      <c r="T837" s="14"/>
      <c r="U837" s="14"/>
      <c r="V837" s="14"/>
      <c r="W837" s="14"/>
      <c r="X837" s="14"/>
      <c r="Y837" s="14"/>
      <c r="Z837" s="14"/>
    </row>
    <row r="838" ht="12.75" customHeight="1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>
        <f t="shared" ref="K838:L838" si="836">H838/12</f>
        <v>0</v>
      </c>
      <c r="L838" s="46">
        <f t="shared" si="836"/>
        <v>0</v>
      </c>
      <c r="M838" s="46"/>
      <c r="N838" s="46">
        <f t="shared" si="4"/>
        <v>0</v>
      </c>
      <c r="O838" s="46">
        <f t="shared" si="5"/>
        <v>0</v>
      </c>
      <c r="P838" s="46" t="str">
        <f t="shared" si="6"/>
        <v/>
      </c>
      <c r="Q838" s="46"/>
      <c r="R838" s="14"/>
      <c r="S838" s="14"/>
      <c r="T838" s="14"/>
      <c r="U838" s="14"/>
      <c r="V838" s="14"/>
      <c r="W838" s="14"/>
      <c r="X838" s="14"/>
      <c r="Y838" s="14"/>
      <c r="Z838" s="14"/>
    </row>
    <row r="839" ht="12.75" customHeight="1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>
        <f t="shared" ref="K839:L839" si="837">H839/12</f>
        <v>0</v>
      </c>
      <c r="L839" s="46">
        <f t="shared" si="837"/>
        <v>0</v>
      </c>
      <c r="M839" s="46"/>
      <c r="N839" s="46">
        <f t="shared" si="4"/>
        <v>0</v>
      </c>
      <c r="O839" s="46">
        <f t="shared" si="5"/>
        <v>0</v>
      </c>
      <c r="P839" s="46" t="str">
        <f t="shared" si="6"/>
        <v/>
      </c>
      <c r="Q839" s="46"/>
      <c r="R839" s="14"/>
      <c r="S839" s="14"/>
      <c r="T839" s="14"/>
      <c r="U839" s="14"/>
      <c r="V839" s="14"/>
      <c r="W839" s="14"/>
      <c r="X839" s="14"/>
      <c r="Y839" s="14"/>
      <c r="Z839" s="14"/>
    </row>
    <row r="840" ht="12.75" customHeight="1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>
        <f t="shared" ref="K840:L840" si="838">H840/12</f>
        <v>0</v>
      </c>
      <c r="L840" s="46">
        <f t="shared" si="838"/>
        <v>0</v>
      </c>
      <c r="M840" s="46"/>
      <c r="N840" s="46">
        <f t="shared" si="4"/>
        <v>0</v>
      </c>
      <c r="O840" s="46">
        <f t="shared" si="5"/>
        <v>0</v>
      </c>
      <c r="P840" s="46" t="str">
        <f t="shared" si="6"/>
        <v/>
      </c>
      <c r="Q840" s="46"/>
      <c r="R840" s="14"/>
      <c r="S840" s="14"/>
      <c r="T840" s="14"/>
      <c r="U840" s="14"/>
      <c r="V840" s="14"/>
      <c r="W840" s="14"/>
      <c r="X840" s="14"/>
      <c r="Y840" s="14"/>
      <c r="Z840" s="14"/>
    </row>
    <row r="841" ht="12.75" customHeight="1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>
        <f t="shared" ref="K841:L841" si="839">H841/12</f>
        <v>0</v>
      </c>
      <c r="L841" s="46">
        <f t="shared" si="839"/>
        <v>0</v>
      </c>
      <c r="M841" s="46"/>
      <c r="N841" s="46">
        <f t="shared" si="4"/>
        <v>0</v>
      </c>
      <c r="O841" s="46">
        <f t="shared" si="5"/>
        <v>0</v>
      </c>
      <c r="P841" s="46" t="str">
        <f t="shared" si="6"/>
        <v/>
      </c>
      <c r="Q841" s="46"/>
      <c r="R841" s="14"/>
      <c r="S841" s="14"/>
      <c r="T841" s="14"/>
      <c r="U841" s="14"/>
      <c r="V841" s="14"/>
      <c r="W841" s="14"/>
      <c r="X841" s="14"/>
      <c r="Y841" s="14"/>
      <c r="Z841" s="14"/>
    </row>
    <row r="842" ht="12.75" customHeight="1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>
        <f t="shared" ref="K842:L842" si="840">H842/12</f>
        <v>0</v>
      </c>
      <c r="L842" s="46">
        <f t="shared" si="840"/>
        <v>0</v>
      </c>
      <c r="M842" s="46"/>
      <c r="N842" s="46">
        <f t="shared" si="4"/>
        <v>0</v>
      </c>
      <c r="O842" s="46">
        <f t="shared" si="5"/>
        <v>0</v>
      </c>
      <c r="P842" s="46" t="str">
        <f t="shared" si="6"/>
        <v/>
      </c>
      <c r="Q842" s="46"/>
      <c r="R842" s="14"/>
      <c r="S842" s="14"/>
      <c r="T842" s="14"/>
      <c r="U842" s="14"/>
      <c r="V842" s="14"/>
      <c r="W842" s="14"/>
      <c r="X842" s="14"/>
      <c r="Y842" s="14"/>
      <c r="Z842" s="14"/>
    </row>
    <row r="843" ht="12.75" customHeight="1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>
        <f t="shared" ref="K843:L843" si="841">H843/12</f>
        <v>0</v>
      </c>
      <c r="L843" s="46">
        <f t="shared" si="841"/>
        <v>0</v>
      </c>
      <c r="M843" s="46"/>
      <c r="N843" s="46">
        <f t="shared" si="4"/>
        <v>0</v>
      </c>
      <c r="O843" s="46">
        <f t="shared" si="5"/>
        <v>0</v>
      </c>
      <c r="P843" s="46" t="str">
        <f t="shared" si="6"/>
        <v/>
      </c>
      <c r="Q843" s="46"/>
      <c r="R843" s="14"/>
      <c r="S843" s="14"/>
      <c r="T843" s="14"/>
      <c r="U843" s="14"/>
      <c r="V843" s="14"/>
      <c r="W843" s="14"/>
      <c r="X843" s="14"/>
      <c r="Y843" s="14"/>
      <c r="Z843" s="14"/>
    </row>
    <row r="844" ht="12.75" customHeight="1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>
        <f t="shared" ref="K844:L844" si="842">H844/12</f>
        <v>0</v>
      </c>
      <c r="L844" s="46">
        <f t="shared" si="842"/>
        <v>0</v>
      </c>
      <c r="M844" s="46"/>
      <c r="N844" s="46">
        <f t="shared" si="4"/>
        <v>0</v>
      </c>
      <c r="O844" s="46">
        <f t="shared" si="5"/>
        <v>0</v>
      </c>
      <c r="P844" s="46" t="str">
        <f t="shared" si="6"/>
        <v/>
      </c>
      <c r="Q844" s="46"/>
      <c r="R844" s="14"/>
      <c r="S844" s="14"/>
      <c r="T844" s="14"/>
      <c r="U844" s="14"/>
      <c r="V844" s="14"/>
      <c r="W844" s="14"/>
      <c r="X844" s="14"/>
      <c r="Y844" s="14"/>
      <c r="Z844" s="14"/>
    </row>
    <row r="845" ht="12.75" customHeight="1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>
        <f t="shared" ref="K845:L845" si="843">H845/12</f>
        <v>0</v>
      </c>
      <c r="L845" s="46">
        <f t="shared" si="843"/>
        <v>0</v>
      </c>
      <c r="M845" s="46"/>
      <c r="N845" s="46">
        <f t="shared" si="4"/>
        <v>0</v>
      </c>
      <c r="O845" s="46">
        <f t="shared" si="5"/>
        <v>0</v>
      </c>
      <c r="P845" s="46" t="str">
        <f t="shared" si="6"/>
        <v/>
      </c>
      <c r="Q845" s="46"/>
      <c r="R845" s="14"/>
      <c r="S845" s="14"/>
      <c r="T845" s="14"/>
      <c r="U845" s="14"/>
      <c r="V845" s="14"/>
      <c r="W845" s="14"/>
      <c r="X845" s="14"/>
      <c r="Y845" s="14"/>
      <c r="Z845" s="14"/>
    </row>
    <row r="846" ht="12.75" customHeight="1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>
        <f t="shared" ref="K846:L846" si="844">H846/12</f>
        <v>0</v>
      </c>
      <c r="L846" s="46">
        <f t="shared" si="844"/>
        <v>0</v>
      </c>
      <c r="M846" s="46"/>
      <c r="N846" s="46">
        <f t="shared" si="4"/>
        <v>0</v>
      </c>
      <c r="O846" s="46">
        <f t="shared" si="5"/>
        <v>0</v>
      </c>
      <c r="P846" s="46" t="str">
        <f t="shared" si="6"/>
        <v/>
      </c>
      <c r="Q846" s="46"/>
      <c r="R846" s="14"/>
      <c r="S846" s="14"/>
      <c r="T846" s="14"/>
      <c r="U846" s="14"/>
      <c r="V846" s="14"/>
      <c r="W846" s="14"/>
      <c r="X846" s="14"/>
      <c r="Y846" s="14"/>
      <c r="Z846" s="14"/>
    </row>
    <row r="847" ht="12.75" customHeight="1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>
        <f t="shared" ref="K847:L847" si="845">H847/12</f>
        <v>0</v>
      </c>
      <c r="L847" s="46">
        <f t="shared" si="845"/>
        <v>0</v>
      </c>
      <c r="M847" s="46"/>
      <c r="N847" s="46">
        <f t="shared" si="4"/>
        <v>0</v>
      </c>
      <c r="O847" s="46">
        <f t="shared" si="5"/>
        <v>0</v>
      </c>
      <c r="P847" s="46" t="str">
        <f t="shared" si="6"/>
        <v/>
      </c>
      <c r="Q847" s="46"/>
      <c r="R847" s="14"/>
      <c r="S847" s="14"/>
      <c r="T847" s="14"/>
      <c r="U847" s="14"/>
      <c r="V847" s="14"/>
      <c r="W847" s="14"/>
      <c r="X847" s="14"/>
      <c r="Y847" s="14"/>
      <c r="Z847" s="14"/>
    </row>
    <row r="848" ht="12.75" customHeight="1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>
        <f t="shared" ref="K848:L848" si="846">H848/12</f>
        <v>0</v>
      </c>
      <c r="L848" s="46">
        <f t="shared" si="846"/>
        <v>0</v>
      </c>
      <c r="M848" s="46"/>
      <c r="N848" s="46">
        <f t="shared" si="4"/>
        <v>0</v>
      </c>
      <c r="O848" s="46">
        <f t="shared" si="5"/>
        <v>0</v>
      </c>
      <c r="P848" s="46" t="str">
        <f t="shared" si="6"/>
        <v/>
      </c>
      <c r="Q848" s="46"/>
      <c r="R848" s="14"/>
      <c r="S848" s="14"/>
      <c r="T848" s="14"/>
      <c r="U848" s="14"/>
      <c r="V848" s="14"/>
      <c r="W848" s="14"/>
      <c r="X848" s="14"/>
      <c r="Y848" s="14"/>
      <c r="Z848" s="14"/>
    </row>
    <row r="849" ht="12.75" customHeight="1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>
        <f t="shared" ref="K849:L849" si="847">H849/12</f>
        <v>0</v>
      </c>
      <c r="L849" s="46">
        <f t="shared" si="847"/>
        <v>0</v>
      </c>
      <c r="M849" s="46"/>
      <c r="N849" s="46">
        <f t="shared" si="4"/>
        <v>0</v>
      </c>
      <c r="O849" s="46">
        <f t="shared" si="5"/>
        <v>0</v>
      </c>
      <c r="P849" s="46" t="str">
        <f t="shared" si="6"/>
        <v/>
      </c>
      <c r="Q849" s="46"/>
      <c r="R849" s="14"/>
      <c r="S849" s="14"/>
      <c r="T849" s="14"/>
      <c r="U849" s="14"/>
      <c r="V849" s="14"/>
      <c r="W849" s="14"/>
      <c r="X849" s="14"/>
      <c r="Y849" s="14"/>
      <c r="Z849" s="14"/>
    </row>
    <row r="850" ht="12.75" customHeight="1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>
        <f t="shared" ref="K850:L850" si="848">H850/12</f>
        <v>0</v>
      </c>
      <c r="L850" s="46">
        <f t="shared" si="848"/>
        <v>0</v>
      </c>
      <c r="M850" s="46"/>
      <c r="N850" s="46">
        <f t="shared" si="4"/>
        <v>0</v>
      </c>
      <c r="O850" s="46">
        <f t="shared" si="5"/>
        <v>0</v>
      </c>
      <c r="P850" s="46" t="str">
        <f t="shared" si="6"/>
        <v/>
      </c>
      <c r="Q850" s="46"/>
      <c r="R850" s="14"/>
      <c r="S850" s="14"/>
      <c r="T850" s="14"/>
      <c r="U850" s="14"/>
      <c r="V850" s="14"/>
      <c r="W850" s="14"/>
      <c r="X850" s="14"/>
      <c r="Y850" s="14"/>
      <c r="Z850" s="14"/>
    </row>
    <row r="851" ht="12.75" customHeight="1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>
        <f t="shared" ref="K851:L851" si="849">H851/12</f>
        <v>0</v>
      </c>
      <c r="L851" s="46">
        <f t="shared" si="849"/>
        <v>0</v>
      </c>
      <c r="M851" s="46"/>
      <c r="N851" s="46">
        <f t="shared" si="4"/>
        <v>0</v>
      </c>
      <c r="O851" s="46">
        <f t="shared" si="5"/>
        <v>0</v>
      </c>
      <c r="P851" s="46" t="str">
        <f t="shared" si="6"/>
        <v/>
      </c>
      <c r="Q851" s="46"/>
      <c r="R851" s="14"/>
      <c r="S851" s="14"/>
      <c r="T851" s="14"/>
      <c r="U851" s="14"/>
      <c r="V851" s="14"/>
      <c r="W851" s="14"/>
      <c r="X851" s="14"/>
      <c r="Y851" s="14"/>
      <c r="Z851" s="14"/>
    </row>
    <row r="852" ht="12.75" customHeight="1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>
        <f t="shared" ref="K852:L852" si="850">H852/12</f>
        <v>0</v>
      </c>
      <c r="L852" s="46">
        <f t="shared" si="850"/>
        <v>0</v>
      </c>
      <c r="M852" s="46"/>
      <c r="N852" s="46">
        <f t="shared" si="4"/>
        <v>0</v>
      </c>
      <c r="O852" s="46">
        <f t="shared" si="5"/>
        <v>0</v>
      </c>
      <c r="P852" s="46" t="str">
        <f t="shared" si="6"/>
        <v/>
      </c>
      <c r="Q852" s="46"/>
      <c r="R852" s="14"/>
      <c r="S852" s="14"/>
      <c r="T852" s="14"/>
      <c r="U852" s="14"/>
      <c r="V852" s="14"/>
      <c r="W852" s="14"/>
      <c r="X852" s="14"/>
      <c r="Y852" s="14"/>
      <c r="Z852" s="14"/>
    </row>
    <row r="853" ht="12.75" customHeight="1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>
        <f t="shared" ref="K853:L853" si="851">H853/12</f>
        <v>0</v>
      </c>
      <c r="L853" s="46">
        <f t="shared" si="851"/>
        <v>0</v>
      </c>
      <c r="M853" s="46"/>
      <c r="N853" s="46">
        <f t="shared" si="4"/>
        <v>0</v>
      </c>
      <c r="O853" s="46">
        <f t="shared" si="5"/>
        <v>0</v>
      </c>
      <c r="P853" s="46" t="str">
        <f t="shared" si="6"/>
        <v/>
      </c>
      <c r="Q853" s="46"/>
      <c r="R853" s="14"/>
      <c r="S853" s="14"/>
      <c r="T853" s="14"/>
      <c r="U853" s="14"/>
      <c r="V853" s="14"/>
      <c r="W853" s="14"/>
      <c r="X853" s="14"/>
      <c r="Y853" s="14"/>
      <c r="Z853" s="14"/>
    </row>
    <row r="854" ht="12.75" customHeight="1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>
        <f t="shared" ref="K854:L854" si="852">H854/12</f>
        <v>0</v>
      </c>
      <c r="L854" s="46">
        <f t="shared" si="852"/>
        <v>0</v>
      </c>
      <c r="M854" s="46"/>
      <c r="N854" s="46">
        <f t="shared" si="4"/>
        <v>0</v>
      </c>
      <c r="O854" s="46">
        <f t="shared" si="5"/>
        <v>0</v>
      </c>
      <c r="P854" s="46" t="str">
        <f t="shared" si="6"/>
        <v/>
      </c>
      <c r="Q854" s="46"/>
      <c r="R854" s="14"/>
      <c r="S854" s="14"/>
      <c r="T854" s="14"/>
      <c r="U854" s="14"/>
      <c r="V854" s="14"/>
      <c r="W854" s="14"/>
      <c r="X854" s="14"/>
      <c r="Y854" s="14"/>
      <c r="Z854" s="14"/>
    </row>
    <row r="855" ht="12.75" customHeight="1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>
        <f t="shared" ref="K855:L855" si="853">H855/12</f>
        <v>0</v>
      </c>
      <c r="L855" s="46">
        <f t="shared" si="853"/>
        <v>0</v>
      </c>
      <c r="M855" s="46"/>
      <c r="N855" s="46">
        <f t="shared" si="4"/>
        <v>0</v>
      </c>
      <c r="O855" s="46">
        <f t="shared" si="5"/>
        <v>0</v>
      </c>
      <c r="P855" s="46" t="str">
        <f t="shared" si="6"/>
        <v/>
      </c>
      <c r="Q855" s="46"/>
      <c r="R855" s="14"/>
      <c r="S855" s="14"/>
      <c r="T855" s="14"/>
      <c r="U855" s="14"/>
      <c r="V855" s="14"/>
      <c r="W855" s="14"/>
      <c r="X855" s="14"/>
      <c r="Y855" s="14"/>
      <c r="Z855" s="14"/>
    </row>
    <row r="856" ht="12.75" customHeight="1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>
        <f t="shared" ref="K856:L856" si="854">H856/12</f>
        <v>0</v>
      </c>
      <c r="L856" s="46">
        <f t="shared" si="854"/>
        <v>0</v>
      </c>
      <c r="M856" s="46"/>
      <c r="N856" s="46">
        <f t="shared" si="4"/>
        <v>0</v>
      </c>
      <c r="O856" s="46">
        <f t="shared" si="5"/>
        <v>0</v>
      </c>
      <c r="P856" s="46" t="str">
        <f t="shared" si="6"/>
        <v/>
      </c>
      <c r="Q856" s="46"/>
      <c r="R856" s="14"/>
      <c r="S856" s="14"/>
      <c r="T856" s="14"/>
      <c r="U856" s="14"/>
      <c r="V856" s="14"/>
      <c r="W856" s="14"/>
      <c r="X856" s="14"/>
      <c r="Y856" s="14"/>
      <c r="Z856" s="14"/>
    </row>
    <row r="857" ht="12.75" customHeight="1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>
        <f t="shared" ref="K857:L857" si="855">H857/12</f>
        <v>0</v>
      </c>
      <c r="L857" s="46">
        <f t="shared" si="855"/>
        <v>0</v>
      </c>
      <c r="M857" s="46"/>
      <c r="N857" s="46">
        <f t="shared" si="4"/>
        <v>0</v>
      </c>
      <c r="O857" s="46">
        <f t="shared" si="5"/>
        <v>0</v>
      </c>
      <c r="P857" s="46" t="str">
        <f t="shared" si="6"/>
        <v/>
      </c>
      <c r="Q857" s="46"/>
      <c r="R857" s="14"/>
      <c r="S857" s="14"/>
      <c r="T857" s="14"/>
      <c r="U857" s="14"/>
      <c r="V857" s="14"/>
      <c r="W857" s="14"/>
      <c r="X857" s="14"/>
      <c r="Y857" s="14"/>
      <c r="Z857" s="14"/>
    </row>
    <row r="858" ht="12.75" customHeight="1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>
        <f t="shared" ref="K858:L858" si="856">H858/12</f>
        <v>0</v>
      </c>
      <c r="L858" s="46">
        <f t="shared" si="856"/>
        <v>0</v>
      </c>
      <c r="M858" s="46"/>
      <c r="N858" s="46">
        <f t="shared" si="4"/>
        <v>0</v>
      </c>
      <c r="O858" s="46">
        <f t="shared" si="5"/>
        <v>0</v>
      </c>
      <c r="P858" s="46" t="str">
        <f t="shared" si="6"/>
        <v/>
      </c>
      <c r="Q858" s="46"/>
      <c r="R858" s="14"/>
      <c r="S858" s="14"/>
      <c r="T858" s="14"/>
      <c r="U858" s="14"/>
      <c r="V858" s="14"/>
      <c r="W858" s="14"/>
      <c r="X858" s="14"/>
      <c r="Y858" s="14"/>
      <c r="Z858" s="14"/>
    </row>
    <row r="859" ht="12.75" customHeight="1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>
        <f t="shared" ref="K859:L859" si="857">H859/12</f>
        <v>0</v>
      </c>
      <c r="L859" s="46">
        <f t="shared" si="857"/>
        <v>0</v>
      </c>
      <c r="M859" s="46"/>
      <c r="N859" s="46">
        <f t="shared" si="4"/>
        <v>0</v>
      </c>
      <c r="O859" s="46">
        <f t="shared" si="5"/>
        <v>0</v>
      </c>
      <c r="P859" s="46" t="str">
        <f t="shared" si="6"/>
        <v/>
      </c>
      <c r="Q859" s="46"/>
      <c r="R859" s="14"/>
      <c r="S859" s="14"/>
      <c r="T859" s="14"/>
      <c r="U859" s="14"/>
      <c r="V859" s="14"/>
      <c r="W859" s="14"/>
      <c r="X859" s="14"/>
      <c r="Y859" s="14"/>
      <c r="Z859" s="14"/>
    </row>
    <row r="860" ht="12.75" customHeight="1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>
        <f t="shared" ref="K860:L860" si="858">H860/12</f>
        <v>0</v>
      </c>
      <c r="L860" s="46">
        <f t="shared" si="858"/>
        <v>0</v>
      </c>
      <c r="M860" s="46"/>
      <c r="N860" s="46">
        <f t="shared" si="4"/>
        <v>0</v>
      </c>
      <c r="O860" s="46">
        <f t="shared" si="5"/>
        <v>0</v>
      </c>
      <c r="P860" s="46" t="str">
        <f t="shared" si="6"/>
        <v/>
      </c>
      <c r="Q860" s="46"/>
      <c r="R860" s="14"/>
      <c r="S860" s="14"/>
      <c r="T860" s="14"/>
      <c r="U860" s="14"/>
      <c r="V860" s="14"/>
      <c r="W860" s="14"/>
      <c r="X860" s="14"/>
      <c r="Y860" s="14"/>
      <c r="Z860" s="14"/>
    </row>
    <row r="861" ht="12.75" customHeight="1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>
        <f t="shared" ref="K861:L861" si="859">H861/12</f>
        <v>0</v>
      </c>
      <c r="L861" s="46">
        <f t="shared" si="859"/>
        <v>0</v>
      </c>
      <c r="M861" s="46"/>
      <c r="N861" s="46">
        <f t="shared" si="4"/>
        <v>0</v>
      </c>
      <c r="O861" s="46">
        <f t="shared" si="5"/>
        <v>0</v>
      </c>
      <c r="P861" s="46" t="str">
        <f t="shared" si="6"/>
        <v/>
      </c>
      <c r="Q861" s="46"/>
      <c r="R861" s="14"/>
      <c r="S861" s="14"/>
      <c r="T861" s="14"/>
      <c r="U861" s="14"/>
      <c r="V861" s="14"/>
      <c r="W861" s="14"/>
      <c r="X861" s="14"/>
      <c r="Y861" s="14"/>
      <c r="Z861" s="14"/>
    </row>
    <row r="862" ht="12.75" customHeight="1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>
        <f t="shared" ref="K862:L862" si="860">H862/12</f>
        <v>0</v>
      </c>
      <c r="L862" s="46">
        <f t="shared" si="860"/>
        <v>0</v>
      </c>
      <c r="M862" s="46"/>
      <c r="N862" s="46">
        <f t="shared" si="4"/>
        <v>0</v>
      </c>
      <c r="O862" s="46">
        <f t="shared" si="5"/>
        <v>0</v>
      </c>
      <c r="P862" s="46" t="str">
        <f t="shared" si="6"/>
        <v/>
      </c>
      <c r="Q862" s="46"/>
      <c r="R862" s="14"/>
      <c r="S862" s="14"/>
      <c r="T862" s="14"/>
      <c r="U862" s="14"/>
      <c r="V862" s="14"/>
      <c r="W862" s="14"/>
      <c r="X862" s="14"/>
      <c r="Y862" s="14"/>
      <c r="Z862" s="14"/>
    </row>
    <row r="863" ht="12.75" customHeight="1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>
        <f t="shared" ref="K863:L863" si="861">H863/12</f>
        <v>0</v>
      </c>
      <c r="L863" s="46">
        <f t="shared" si="861"/>
        <v>0</v>
      </c>
      <c r="M863" s="46"/>
      <c r="N863" s="46">
        <f t="shared" si="4"/>
        <v>0</v>
      </c>
      <c r="O863" s="46">
        <f t="shared" si="5"/>
        <v>0</v>
      </c>
      <c r="P863" s="46" t="str">
        <f t="shared" si="6"/>
        <v/>
      </c>
      <c r="Q863" s="46"/>
      <c r="R863" s="14"/>
      <c r="S863" s="14"/>
      <c r="T863" s="14"/>
      <c r="U863" s="14"/>
      <c r="V863" s="14"/>
      <c r="W863" s="14"/>
      <c r="X863" s="14"/>
      <c r="Y863" s="14"/>
      <c r="Z863" s="14"/>
    </row>
    <row r="864" ht="12.75" customHeight="1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>
        <f t="shared" ref="K864:L864" si="862">H864/12</f>
        <v>0</v>
      </c>
      <c r="L864" s="46">
        <f t="shared" si="862"/>
        <v>0</v>
      </c>
      <c r="M864" s="46"/>
      <c r="N864" s="46">
        <f t="shared" si="4"/>
        <v>0</v>
      </c>
      <c r="O864" s="46">
        <f t="shared" si="5"/>
        <v>0</v>
      </c>
      <c r="P864" s="46" t="str">
        <f t="shared" si="6"/>
        <v/>
      </c>
      <c r="Q864" s="46"/>
      <c r="R864" s="14"/>
      <c r="S864" s="14"/>
      <c r="T864" s="14"/>
      <c r="U864" s="14"/>
      <c r="V864" s="14"/>
      <c r="W864" s="14"/>
      <c r="X864" s="14"/>
      <c r="Y864" s="14"/>
      <c r="Z864" s="14"/>
    </row>
    <row r="865" ht="12.75" customHeight="1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>
        <f t="shared" ref="K865:L865" si="863">H865/12</f>
        <v>0</v>
      </c>
      <c r="L865" s="46">
        <f t="shared" si="863"/>
        <v>0</v>
      </c>
      <c r="M865" s="46"/>
      <c r="N865" s="46">
        <f t="shared" si="4"/>
        <v>0</v>
      </c>
      <c r="O865" s="46">
        <f t="shared" si="5"/>
        <v>0</v>
      </c>
      <c r="P865" s="46" t="str">
        <f t="shared" si="6"/>
        <v/>
      </c>
      <c r="Q865" s="46"/>
      <c r="R865" s="14"/>
      <c r="S865" s="14"/>
      <c r="T865" s="14"/>
      <c r="U865" s="14"/>
      <c r="V865" s="14"/>
      <c r="W865" s="14"/>
      <c r="X865" s="14"/>
      <c r="Y865" s="14"/>
      <c r="Z865" s="14"/>
    </row>
    <row r="866" ht="12.75" customHeight="1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>
        <f t="shared" ref="K866:L866" si="864">H866/12</f>
        <v>0</v>
      </c>
      <c r="L866" s="46">
        <f t="shared" si="864"/>
        <v>0</v>
      </c>
      <c r="M866" s="46"/>
      <c r="N866" s="46">
        <f t="shared" si="4"/>
        <v>0</v>
      </c>
      <c r="O866" s="46">
        <f t="shared" si="5"/>
        <v>0</v>
      </c>
      <c r="P866" s="46" t="str">
        <f t="shared" si="6"/>
        <v/>
      </c>
      <c r="Q866" s="46"/>
      <c r="R866" s="14"/>
      <c r="S866" s="14"/>
      <c r="T866" s="14"/>
      <c r="U866" s="14"/>
      <c r="V866" s="14"/>
      <c r="W866" s="14"/>
      <c r="X866" s="14"/>
      <c r="Y866" s="14"/>
      <c r="Z866" s="14"/>
    </row>
    <row r="867" ht="12.75" customHeight="1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>
        <f t="shared" ref="K867:L867" si="865">H867/12</f>
        <v>0</v>
      </c>
      <c r="L867" s="46">
        <f t="shared" si="865"/>
        <v>0</v>
      </c>
      <c r="M867" s="46"/>
      <c r="N867" s="46">
        <f t="shared" si="4"/>
        <v>0</v>
      </c>
      <c r="O867" s="46">
        <f t="shared" si="5"/>
        <v>0</v>
      </c>
      <c r="P867" s="46" t="str">
        <f t="shared" si="6"/>
        <v/>
      </c>
      <c r="Q867" s="46"/>
      <c r="R867" s="14"/>
      <c r="S867" s="14"/>
      <c r="T867" s="14"/>
      <c r="U867" s="14"/>
      <c r="V867" s="14"/>
      <c r="W867" s="14"/>
      <c r="X867" s="14"/>
      <c r="Y867" s="14"/>
      <c r="Z867" s="14"/>
    </row>
    <row r="868" ht="12.75" customHeight="1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>
        <f t="shared" ref="K868:L868" si="866">H868/12</f>
        <v>0</v>
      </c>
      <c r="L868" s="46">
        <f t="shared" si="866"/>
        <v>0</v>
      </c>
      <c r="M868" s="46"/>
      <c r="N868" s="46">
        <f t="shared" si="4"/>
        <v>0</v>
      </c>
      <c r="O868" s="46">
        <f t="shared" si="5"/>
        <v>0</v>
      </c>
      <c r="P868" s="46" t="str">
        <f t="shared" si="6"/>
        <v/>
      </c>
      <c r="Q868" s="46"/>
      <c r="R868" s="14"/>
      <c r="S868" s="14"/>
      <c r="T868" s="14"/>
      <c r="U868" s="14"/>
      <c r="V868" s="14"/>
      <c r="W868" s="14"/>
      <c r="X868" s="14"/>
      <c r="Y868" s="14"/>
      <c r="Z868" s="14"/>
    </row>
    <row r="869" ht="12.75" customHeight="1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>
        <f t="shared" ref="K869:L869" si="867">H869/12</f>
        <v>0</v>
      </c>
      <c r="L869" s="46">
        <f t="shared" si="867"/>
        <v>0</v>
      </c>
      <c r="M869" s="46"/>
      <c r="N869" s="46">
        <f t="shared" si="4"/>
        <v>0</v>
      </c>
      <c r="O869" s="46">
        <f t="shared" si="5"/>
        <v>0</v>
      </c>
      <c r="P869" s="46" t="str">
        <f t="shared" si="6"/>
        <v/>
      </c>
      <c r="Q869" s="46"/>
      <c r="R869" s="14"/>
      <c r="S869" s="14"/>
      <c r="T869" s="14"/>
      <c r="U869" s="14"/>
      <c r="V869" s="14"/>
      <c r="W869" s="14"/>
      <c r="X869" s="14"/>
      <c r="Y869" s="14"/>
      <c r="Z869" s="14"/>
    </row>
    <row r="870" ht="12.75" customHeight="1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>
        <f t="shared" ref="K870:L870" si="868">H870/12</f>
        <v>0</v>
      </c>
      <c r="L870" s="46">
        <f t="shared" si="868"/>
        <v>0</v>
      </c>
      <c r="M870" s="46"/>
      <c r="N870" s="46">
        <f t="shared" si="4"/>
        <v>0</v>
      </c>
      <c r="O870" s="46">
        <f t="shared" si="5"/>
        <v>0</v>
      </c>
      <c r="P870" s="46" t="str">
        <f t="shared" si="6"/>
        <v/>
      </c>
      <c r="Q870" s="46"/>
      <c r="R870" s="14"/>
      <c r="S870" s="14"/>
      <c r="T870" s="14"/>
      <c r="U870" s="14"/>
      <c r="V870" s="14"/>
      <c r="W870" s="14"/>
      <c r="X870" s="14"/>
      <c r="Y870" s="14"/>
      <c r="Z870" s="14"/>
    </row>
    <row r="871" ht="12.75" customHeight="1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>
        <f t="shared" ref="K871:L871" si="869">H871/12</f>
        <v>0</v>
      </c>
      <c r="L871" s="46">
        <f t="shared" si="869"/>
        <v>0</v>
      </c>
      <c r="M871" s="46"/>
      <c r="N871" s="46">
        <f t="shared" si="4"/>
        <v>0</v>
      </c>
      <c r="O871" s="46">
        <f t="shared" si="5"/>
        <v>0</v>
      </c>
      <c r="P871" s="46" t="str">
        <f t="shared" si="6"/>
        <v/>
      </c>
      <c r="Q871" s="46"/>
      <c r="R871" s="14"/>
      <c r="S871" s="14"/>
      <c r="T871" s="14"/>
      <c r="U871" s="14"/>
      <c r="V871" s="14"/>
      <c r="W871" s="14"/>
      <c r="X871" s="14"/>
      <c r="Y871" s="14"/>
      <c r="Z871" s="14"/>
    </row>
    <row r="872" ht="12.75" customHeight="1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>
        <f t="shared" ref="K872:L872" si="870">H872/12</f>
        <v>0</v>
      </c>
      <c r="L872" s="46">
        <f t="shared" si="870"/>
        <v>0</v>
      </c>
      <c r="M872" s="46"/>
      <c r="N872" s="46">
        <f t="shared" si="4"/>
        <v>0</v>
      </c>
      <c r="O872" s="46">
        <f t="shared" si="5"/>
        <v>0</v>
      </c>
      <c r="P872" s="46" t="str">
        <f t="shared" si="6"/>
        <v/>
      </c>
      <c r="Q872" s="46"/>
      <c r="R872" s="14"/>
      <c r="S872" s="14"/>
      <c r="T872" s="14"/>
      <c r="U872" s="14"/>
      <c r="V872" s="14"/>
      <c r="W872" s="14"/>
      <c r="X872" s="14"/>
      <c r="Y872" s="14"/>
      <c r="Z872" s="14"/>
    </row>
    <row r="873" ht="12.75" customHeight="1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>
        <f t="shared" ref="K873:L873" si="871">H873/12</f>
        <v>0</v>
      </c>
      <c r="L873" s="46">
        <f t="shared" si="871"/>
        <v>0</v>
      </c>
      <c r="M873" s="46"/>
      <c r="N873" s="46">
        <f t="shared" si="4"/>
        <v>0</v>
      </c>
      <c r="O873" s="46">
        <f t="shared" si="5"/>
        <v>0</v>
      </c>
      <c r="P873" s="46" t="str">
        <f t="shared" si="6"/>
        <v/>
      </c>
      <c r="Q873" s="46"/>
      <c r="R873" s="14"/>
      <c r="S873" s="14"/>
      <c r="T873" s="14"/>
      <c r="U873" s="14"/>
      <c r="V873" s="14"/>
      <c r="W873" s="14"/>
      <c r="X873" s="14"/>
      <c r="Y873" s="14"/>
      <c r="Z873" s="14"/>
    </row>
    <row r="874" ht="12.75" customHeight="1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>
        <f t="shared" ref="K874:L874" si="872">H874/12</f>
        <v>0</v>
      </c>
      <c r="L874" s="46">
        <f t="shared" si="872"/>
        <v>0</v>
      </c>
      <c r="M874" s="46"/>
      <c r="N874" s="46">
        <f t="shared" si="4"/>
        <v>0</v>
      </c>
      <c r="O874" s="46">
        <f t="shared" si="5"/>
        <v>0</v>
      </c>
      <c r="P874" s="46" t="str">
        <f t="shared" si="6"/>
        <v/>
      </c>
      <c r="Q874" s="46"/>
      <c r="R874" s="14"/>
      <c r="S874" s="14"/>
      <c r="T874" s="14"/>
      <c r="U874" s="14"/>
      <c r="V874" s="14"/>
      <c r="W874" s="14"/>
      <c r="X874" s="14"/>
      <c r="Y874" s="14"/>
      <c r="Z874" s="14"/>
    </row>
    <row r="875" ht="12.75" customHeight="1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>
        <f t="shared" ref="K875:L875" si="873">H875/12</f>
        <v>0</v>
      </c>
      <c r="L875" s="46">
        <f t="shared" si="873"/>
        <v>0</v>
      </c>
      <c r="M875" s="46"/>
      <c r="N875" s="46">
        <f t="shared" si="4"/>
        <v>0</v>
      </c>
      <c r="O875" s="46">
        <f t="shared" si="5"/>
        <v>0</v>
      </c>
      <c r="P875" s="46" t="str">
        <f t="shared" si="6"/>
        <v/>
      </c>
      <c r="Q875" s="46"/>
      <c r="R875" s="14"/>
      <c r="S875" s="14"/>
      <c r="T875" s="14"/>
      <c r="U875" s="14"/>
      <c r="V875" s="14"/>
      <c r="W875" s="14"/>
      <c r="X875" s="14"/>
      <c r="Y875" s="14"/>
      <c r="Z875" s="14"/>
    </row>
    <row r="876" ht="12.75" customHeight="1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>
        <f t="shared" ref="K876:L876" si="874">H876/12</f>
        <v>0</v>
      </c>
      <c r="L876" s="46">
        <f t="shared" si="874"/>
        <v>0</v>
      </c>
      <c r="M876" s="46"/>
      <c r="N876" s="46">
        <f t="shared" si="4"/>
        <v>0</v>
      </c>
      <c r="O876" s="46">
        <f t="shared" si="5"/>
        <v>0</v>
      </c>
      <c r="P876" s="46" t="str">
        <f t="shared" si="6"/>
        <v/>
      </c>
      <c r="Q876" s="46"/>
      <c r="R876" s="14"/>
      <c r="S876" s="14"/>
      <c r="T876" s="14"/>
      <c r="U876" s="14"/>
      <c r="V876" s="14"/>
      <c r="W876" s="14"/>
      <c r="X876" s="14"/>
      <c r="Y876" s="14"/>
      <c r="Z876" s="14"/>
    </row>
    <row r="877" ht="12.75" customHeight="1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>
        <f t="shared" ref="K877:L877" si="875">H877/12</f>
        <v>0</v>
      </c>
      <c r="L877" s="46">
        <f t="shared" si="875"/>
        <v>0</v>
      </c>
      <c r="M877" s="46"/>
      <c r="N877" s="46">
        <f t="shared" si="4"/>
        <v>0</v>
      </c>
      <c r="O877" s="46">
        <f t="shared" si="5"/>
        <v>0</v>
      </c>
      <c r="P877" s="46" t="str">
        <f t="shared" si="6"/>
        <v/>
      </c>
      <c r="Q877" s="46"/>
      <c r="R877" s="14"/>
      <c r="S877" s="14"/>
      <c r="T877" s="14"/>
      <c r="U877" s="14"/>
      <c r="V877" s="14"/>
      <c r="W877" s="14"/>
      <c r="X877" s="14"/>
      <c r="Y877" s="14"/>
      <c r="Z877" s="14"/>
    </row>
    <row r="878" ht="12.75" customHeight="1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>
        <f t="shared" ref="K878:L878" si="876">H878/12</f>
        <v>0</v>
      </c>
      <c r="L878" s="46">
        <f t="shared" si="876"/>
        <v>0</v>
      </c>
      <c r="M878" s="46"/>
      <c r="N878" s="46">
        <f t="shared" si="4"/>
        <v>0</v>
      </c>
      <c r="O878" s="46">
        <f t="shared" si="5"/>
        <v>0</v>
      </c>
      <c r="P878" s="46" t="str">
        <f t="shared" si="6"/>
        <v/>
      </c>
      <c r="Q878" s="46"/>
      <c r="R878" s="14"/>
      <c r="S878" s="14"/>
      <c r="T878" s="14"/>
      <c r="U878" s="14"/>
      <c r="V878" s="14"/>
      <c r="W878" s="14"/>
      <c r="X878" s="14"/>
      <c r="Y878" s="14"/>
      <c r="Z878" s="14"/>
    </row>
    <row r="879" ht="12.75" customHeight="1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>
        <f t="shared" ref="K879:L879" si="877">H879/12</f>
        <v>0</v>
      </c>
      <c r="L879" s="46">
        <f t="shared" si="877"/>
        <v>0</v>
      </c>
      <c r="M879" s="46"/>
      <c r="N879" s="46">
        <f t="shared" si="4"/>
        <v>0</v>
      </c>
      <c r="O879" s="46">
        <f t="shared" si="5"/>
        <v>0</v>
      </c>
      <c r="P879" s="46" t="str">
        <f t="shared" si="6"/>
        <v/>
      </c>
      <c r="Q879" s="46"/>
      <c r="R879" s="14"/>
      <c r="S879" s="14"/>
      <c r="T879" s="14"/>
      <c r="U879" s="14"/>
      <c r="V879" s="14"/>
      <c r="W879" s="14"/>
      <c r="X879" s="14"/>
      <c r="Y879" s="14"/>
      <c r="Z879" s="14"/>
    </row>
    <row r="880" ht="12.75" customHeight="1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>
        <f t="shared" ref="K880:L880" si="878">H880/12</f>
        <v>0</v>
      </c>
      <c r="L880" s="46">
        <f t="shared" si="878"/>
        <v>0</v>
      </c>
      <c r="M880" s="46"/>
      <c r="N880" s="46">
        <f t="shared" si="4"/>
        <v>0</v>
      </c>
      <c r="O880" s="46">
        <f t="shared" si="5"/>
        <v>0</v>
      </c>
      <c r="P880" s="46" t="str">
        <f t="shared" si="6"/>
        <v/>
      </c>
      <c r="Q880" s="46"/>
      <c r="R880" s="14"/>
      <c r="S880" s="14"/>
      <c r="T880" s="14"/>
      <c r="U880" s="14"/>
      <c r="V880" s="14"/>
      <c r="W880" s="14"/>
      <c r="X880" s="14"/>
      <c r="Y880" s="14"/>
      <c r="Z880" s="14"/>
    </row>
    <row r="881" ht="12.75" customHeight="1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>
        <f t="shared" ref="K881:L881" si="879">H881/12</f>
        <v>0</v>
      </c>
      <c r="L881" s="46">
        <f t="shared" si="879"/>
        <v>0</v>
      </c>
      <c r="M881" s="46"/>
      <c r="N881" s="46">
        <f t="shared" si="4"/>
        <v>0</v>
      </c>
      <c r="O881" s="46">
        <f t="shared" si="5"/>
        <v>0</v>
      </c>
      <c r="P881" s="46" t="str">
        <f t="shared" si="6"/>
        <v/>
      </c>
      <c r="Q881" s="46"/>
      <c r="R881" s="14"/>
      <c r="S881" s="14"/>
      <c r="T881" s="14"/>
      <c r="U881" s="14"/>
      <c r="V881" s="14"/>
      <c r="W881" s="14"/>
      <c r="X881" s="14"/>
      <c r="Y881" s="14"/>
      <c r="Z881" s="14"/>
    </row>
    <row r="88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3"/>
      <c r="L882" s="14"/>
      <c r="M882" s="47"/>
      <c r="N882" s="15"/>
      <c r="O882" s="16"/>
      <c r="P882" s="17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ht="12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3"/>
      <c r="L883" s="14"/>
      <c r="M883" s="47"/>
      <c r="N883" s="15"/>
      <c r="O883" s="16"/>
      <c r="P883" s="17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ht="12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3"/>
      <c r="L884" s="14"/>
      <c r="M884" s="47"/>
      <c r="N884" s="15"/>
      <c r="O884" s="16"/>
      <c r="P884" s="17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ht="12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3"/>
      <c r="L885" s="14"/>
      <c r="M885" s="47"/>
      <c r="N885" s="15"/>
      <c r="O885" s="16"/>
      <c r="P885" s="17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ht="12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3"/>
      <c r="L886" s="14"/>
      <c r="M886" s="47"/>
      <c r="N886" s="15"/>
      <c r="O886" s="16"/>
      <c r="P886" s="17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ht="12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3"/>
      <c r="L887" s="14"/>
      <c r="M887" s="47"/>
      <c r="N887" s="15"/>
      <c r="O887" s="16"/>
      <c r="P887" s="17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ht="12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3"/>
      <c r="L888" s="14"/>
      <c r="M888" s="47"/>
      <c r="N888" s="15"/>
      <c r="O888" s="16"/>
      <c r="P888" s="17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ht="12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3"/>
      <c r="L889" s="14"/>
      <c r="M889" s="47"/>
      <c r="N889" s="15"/>
      <c r="O889" s="16"/>
      <c r="P889" s="17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ht="12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3"/>
      <c r="L890" s="14"/>
      <c r="M890" s="47"/>
      <c r="N890" s="15"/>
      <c r="O890" s="16"/>
      <c r="P890" s="17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ht="12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3"/>
      <c r="L891" s="14"/>
      <c r="M891" s="47"/>
      <c r="N891" s="15"/>
      <c r="O891" s="16"/>
      <c r="P891" s="17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ht="12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3"/>
      <c r="L892" s="14"/>
      <c r="M892" s="47"/>
      <c r="N892" s="15"/>
      <c r="O892" s="16"/>
      <c r="P892" s="17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ht="12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3"/>
      <c r="L893" s="14"/>
      <c r="M893" s="47"/>
      <c r="N893" s="15"/>
      <c r="O893" s="16"/>
      <c r="P893" s="17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ht="12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3"/>
      <c r="L894" s="14"/>
      <c r="M894" s="47"/>
      <c r="N894" s="15"/>
      <c r="O894" s="16"/>
      <c r="P894" s="17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ht="12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3"/>
      <c r="L895" s="14"/>
      <c r="M895" s="47"/>
      <c r="N895" s="15"/>
      <c r="O895" s="16"/>
      <c r="P895" s="17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ht="12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3"/>
      <c r="L896" s="14"/>
      <c r="M896" s="47"/>
      <c r="N896" s="15"/>
      <c r="O896" s="16"/>
      <c r="P896" s="17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ht="12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3"/>
      <c r="L897" s="14"/>
      <c r="M897" s="47"/>
      <c r="N897" s="15"/>
      <c r="O897" s="16"/>
      <c r="P897" s="17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ht="12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3"/>
      <c r="L898" s="14"/>
      <c r="M898" s="47"/>
      <c r="N898" s="15"/>
      <c r="O898" s="16"/>
      <c r="P898" s="17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ht="12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3"/>
      <c r="L899" s="14"/>
      <c r="M899" s="47"/>
      <c r="N899" s="15"/>
      <c r="O899" s="16"/>
      <c r="P899" s="17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ht="12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3"/>
      <c r="L900" s="14"/>
      <c r="M900" s="47"/>
      <c r="N900" s="15"/>
      <c r="O900" s="16"/>
      <c r="P900" s="17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ht="12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3"/>
      <c r="L901" s="14"/>
      <c r="M901" s="47"/>
      <c r="N901" s="15"/>
      <c r="O901" s="16"/>
      <c r="P901" s="17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ht="12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3"/>
      <c r="L902" s="14"/>
      <c r="M902" s="47"/>
      <c r="N902" s="15"/>
      <c r="O902" s="16"/>
      <c r="P902" s="17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ht="12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3"/>
      <c r="L903" s="14"/>
      <c r="M903" s="47"/>
      <c r="N903" s="15"/>
      <c r="O903" s="16"/>
      <c r="P903" s="17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ht="12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3"/>
      <c r="L904" s="14"/>
      <c r="M904" s="47"/>
      <c r="N904" s="15"/>
      <c r="O904" s="16"/>
      <c r="P904" s="17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ht="12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3"/>
      <c r="L905" s="14"/>
      <c r="M905" s="47"/>
      <c r="N905" s="15"/>
      <c r="O905" s="16"/>
      <c r="P905" s="17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ht="12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3"/>
      <c r="L906" s="14"/>
      <c r="M906" s="47"/>
      <c r="N906" s="15"/>
      <c r="O906" s="16"/>
      <c r="P906" s="17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ht="12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3"/>
      <c r="L907" s="14"/>
      <c r="M907" s="47"/>
      <c r="N907" s="15"/>
      <c r="O907" s="16"/>
      <c r="P907" s="17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ht="12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3"/>
      <c r="L908" s="14"/>
      <c r="M908" s="47"/>
      <c r="N908" s="15"/>
      <c r="O908" s="16"/>
      <c r="P908" s="17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ht="12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3"/>
      <c r="L909" s="14"/>
      <c r="M909" s="47"/>
      <c r="N909" s="15"/>
      <c r="O909" s="16"/>
      <c r="P909" s="17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ht="12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3"/>
      <c r="L910" s="14"/>
      <c r="M910" s="47"/>
      <c r="N910" s="15"/>
      <c r="O910" s="16"/>
      <c r="P910" s="17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ht="12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3"/>
      <c r="L911" s="14"/>
      <c r="M911" s="47"/>
      <c r="N911" s="15"/>
      <c r="O911" s="16"/>
      <c r="P911" s="17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ht="12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3"/>
      <c r="L912" s="14"/>
      <c r="M912" s="47"/>
      <c r="N912" s="15"/>
      <c r="O912" s="16"/>
      <c r="P912" s="17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ht="12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3"/>
      <c r="L913" s="14"/>
      <c r="M913" s="47"/>
      <c r="N913" s="15"/>
      <c r="O913" s="16"/>
      <c r="P913" s="17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ht="12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3"/>
      <c r="L914" s="14"/>
      <c r="M914" s="47"/>
      <c r="N914" s="15"/>
      <c r="O914" s="16"/>
      <c r="P914" s="17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ht="12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3"/>
      <c r="L915" s="14"/>
      <c r="M915" s="47"/>
      <c r="N915" s="15"/>
      <c r="O915" s="16"/>
      <c r="P915" s="17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ht="12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3"/>
      <c r="L916" s="14"/>
      <c r="M916" s="47"/>
      <c r="N916" s="15"/>
      <c r="O916" s="16"/>
      <c r="P916" s="17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ht="12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3"/>
      <c r="L917" s="14"/>
      <c r="M917" s="47"/>
      <c r="N917" s="15"/>
      <c r="O917" s="16"/>
      <c r="P917" s="17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ht="12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3"/>
      <c r="L918" s="14"/>
      <c r="M918" s="47"/>
      <c r="N918" s="15"/>
      <c r="O918" s="16"/>
      <c r="P918" s="17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ht="12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3"/>
      <c r="L919" s="14"/>
      <c r="M919" s="47"/>
      <c r="N919" s="15"/>
      <c r="O919" s="16"/>
      <c r="P919" s="17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ht="12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3"/>
      <c r="L920" s="14"/>
      <c r="M920" s="47"/>
      <c r="N920" s="15"/>
      <c r="O920" s="16"/>
      <c r="P920" s="17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ht="12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3"/>
      <c r="L921" s="14"/>
      <c r="M921" s="47"/>
      <c r="N921" s="15"/>
      <c r="O921" s="16"/>
      <c r="P921" s="17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ht="12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3"/>
      <c r="L922" s="14"/>
      <c r="M922" s="47"/>
      <c r="N922" s="15"/>
      <c r="O922" s="16"/>
      <c r="P922" s="17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ht="12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3"/>
      <c r="L923" s="14"/>
      <c r="M923" s="47"/>
      <c r="N923" s="15"/>
      <c r="O923" s="16"/>
      <c r="P923" s="17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ht="12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3"/>
      <c r="L924" s="14"/>
      <c r="M924" s="47"/>
      <c r="N924" s="15"/>
      <c r="O924" s="16"/>
      <c r="P924" s="17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ht="12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3"/>
      <c r="L925" s="14"/>
      <c r="M925" s="47"/>
      <c r="N925" s="15"/>
      <c r="O925" s="16"/>
      <c r="P925" s="17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ht="12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3"/>
      <c r="L926" s="14"/>
      <c r="M926" s="47"/>
      <c r="N926" s="15"/>
      <c r="O926" s="16"/>
      <c r="P926" s="17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ht="12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3"/>
      <c r="L927" s="14"/>
      <c r="M927" s="47"/>
      <c r="N927" s="15"/>
      <c r="O927" s="16"/>
      <c r="P927" s="17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ht="12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3"/>
      <c r="L928" s="14"/>
      <c r="M928" s="47"/>
      <c r="N928" s="15"/>
      <c r="O928" s="16"/>
      <c r="P928" s="17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ht="12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3"/>
      <c r="L929" s="14"/>
      <c r="M929" s="47"/>
      <c r="N929" s="15"/>
      <c r="O929" s="16"/>
      <c r="P929" s="17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ht="12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3"/>
      <c r="L930" s="14"/>
      <c r="M930" s="47"/>
      <c r="N930" s="15"/>
      <c r="O930" s="16"/>
      <c r="P930" s="17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ht="12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3"/>
      <c r="L931" s="14"/>
      <c r="M931" s="47"/>
      <c r="N931" s="15"/>
      <c r="O931" s="16"/>
      <c r="P931" s="17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ht="12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3"/>
      <c r="L932" s="14"/>
      <c r="M932" s="47"/>
      <c r="N932" s="15"/>
      <c r="O932" s="16"/>
      <c r="P932" s="17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ht="12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3"/>
      <c r="L933" s="14"/>
      <c r="M933" s="47"/>
      <c r="N933" s="15"/>
      <c r="O933" s="16"/>
      <c r="P933" s="17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ht="12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3"/>
      <c r="L934" s="14"/>
      <c r="M934" s="47"/>
      <c r="N934" s="15"/>
      <c r="O934" s="16"/>
      <c r="P934" s="17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ht="12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3"/>
      <c r="L935" s="14"/>
      <c r="M935" s="47"/>
      <c r="N935" s="15"/>
      <c r="O935" s="16"/>
      <c r="P935" s="17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ht="12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3"/>
      <c r="L936" s="14"/>
      <c r="M936" s="47"/>
      <c r="N936" s="15"/>
      <c r="O936" s="16"/>
      <c r="P936" s="17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ht="12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3"/>
      <c r="L937" s="14"/>
      <c r="M937" s="47"/>
      <c r="N937" s="15"/>
      <c r="O937" s="16"/>
      <c r="P937" s="17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ht="12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3"/>
      <c r="L938" s="14"/>
      <c r="M938" s="47"/>
      <c r="N938" s="15"/>
      <c r="O938" s="16"/>
      <c r="P938" s="17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ht="12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3"/>
      <c r="L939" s="14"/>
      <c r="M939" s="47"/>
      <c r="N939" s="15"/>
      <c r="O939" s="16"/>
      <c r="P939" s="17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ht="12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3"/>
      <c r="L940" s="14"/>
      <c r="M940" s="47"/>
      <c r="N940" s="15"/>
      <c r="O940" s="16"/>
      <c r="P940" s="17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ht="12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3"/>
      <c r="L941" s="14"/>
      <c r="M941" s="47"/>
      <c r="N941" s="15"/>
      <c r="O941" s="16"/>
      <c r="P941" s="17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ht="12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3"/>
      <c r="L942" s="14"/>
      <c r="M942" s="47"/>
      <c r="N942" s="15"/>
      <c r="O942" s="16"/>
      <c r="P942" s="17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ht="12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3"/>
      <c r="L943" s="14"/>
      <c r="M943" s="47"/>
      <c r="N943" s="15"/>
      <c r="O943" s="16"/>
      <c r="P943" s="17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ht="12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3"/>
      <c r="L944" s="14"/>
      <c r="M944" s="47"/>
      <c r="N944" s="15"/>
      <c r="O944" s="16"/>
      <c r="P944" s="17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ht="12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3"/>
      <c r="L945" s="14"/>
      <c r="M945" s="47"/>
      <c r="N945" s="15"/>
      <c r="O945" s="16"/>
      <c r="P945" s="17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ht="12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3"/>
      <c r="L946" s="14"/>
      <c r="M946" s="47"/>
      <c r="N946" s="15"/>
      <c r="O946" s="16"/>
      <c r="P946" s="17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ht="12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3"/>
      <c r="L947" s="14"/>
      <c r="M947" s="47"/>
      <c r="N947" s="15"/>
      <c r="O947" s="16"/>
      <c r="P947" s="17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ht="12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3"/>
      <c r="L948" s="14"/>
      <c r="M948" s="47"/>
      <c r="N948" s="15"/>
      <c r="O948" s="16"/>
      <c r="P948" s="17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ht="12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3"/>
      <c r="L949" s="14"/>
      <c r="M949" s="47"/>
      <c r="N949" s="15"/>
      <c r="O949" s="16"/>
      <c r="P949" s="17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ht="12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3"/>
      <c r="L950" s="14"/>
      <c r="M950" s="47"/>
      <c r="N950" s="15"/>
      <c r="O950" s="16"/>
      <c r="P950" s="17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ht="12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3"/>
      <c r="L951" s="14"/>
      <c r="M951" s="47"/>
      <c r="N951" s="15"/>
      <c r="O951" s="16"/>
      <c r="P951" s="17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ht="12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3"/>
      <c r="L952" s="14"/>
      <c r="M952" s="47"/>
      <c r="N952" s="15"/>
      <c r="O952" s="16"/>
      <c r="P952" s="17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ht="12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3"/>
      <c r="L953" s="14"/>
      <c r="M953" s="47"/>
      <c r="N953" s="15"/>
      <c r="O953" s="16"/>
      <c r="P953" s="17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ht="12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3"/>
      <c r="L954" s="14"/>
      <c r="M954" s="47"/>
      <c r="N954" s="15"/>
      <c r="O954" s="16"/>
      <c r="P954" s="17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ht="12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3"/>
      <c r="L955" s="14"/>
      <c r="M955" s="47"/>
      <c r="N955" s="15"/>
      <c r="O955" s="16"/>
      <c r="P955" s="17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ht="12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3"/>
      <c r="L956" s="14"/>
      <c r="M956" s="47"/>
      <c r="N956" s="15"/>
      <c r="O956" s="16"/>
      <c r="P956" s="17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ht="12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3"/>
      <c r="L957" s="14"/>
      <c r="M957" s="47"/>
      <c r="N957" s="15"/>
      <c r="O957" s="16"/>
      <c r="P957" s="17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ht="12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3"/>
      <c r="L958" s="14"/>
      <c r="M958" s="47"/>
      <c r="N958" s="15"/>
      <c r="O958" s="16"/>
      <c r="P958" s="17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ht="12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3"/>
      <c r="L959" s="14"/>
      <c r="M959" s="47"/>
      <c r="N959" s="15"/>
      <c r="O959" s="16"/>
      <c r="P959" s="17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ht="12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3"/>
      <c r="L960" s="14"/>
      <c r="M960" s="47"/>
      <c r="N960" s="15"/>
      <c r="O960" s="16"/>
      <c r="P960" s="17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ht="12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3"/>
      <c r="L961" s="14"/>
      <c r="M961" s="47"/>
      <c r="N961" s="15"/>
      <c r="O961" s="16"/>
      <c r="P961" s="17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ht="12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3"/>
      <c r="L962" s="14"/>
      <c r="M962" s="47"/>
      <c r="N962" s="15"/>
      <c r="O962" s="16"/>
      <c r="P962" s="17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ht="12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3"/>
      <c r="L963" s="14"/>
      <c r="M963" s="47"/>
      <c r="N963" s="15"/>
      <c r="O963" s="16"/>
      <c r="P963" s="17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ht="12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3"/>
      <c r="L964" s="14"/>
      <c r="M964" s="47"/>
      <c r="N964" s="15"/>
      <c r="O964" s="16"/>
      <c r="P964" s="17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ht="12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3"/>
      <c r="L965" s="14"/>
      <c r="M965" s="47"/>
      <c r="N965" s="15"/>
      <c r="O965" s="16"/>
      <c r="P965" s="17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ht="12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3"/>
      <c r="L966" s="14"/>
      <c r="M966" s="47"/>
      <c r="N966" s="15"/>
      <c r="O966" s="16"/>
      <c r="P966" s="17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ht="12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3"/>
      <c r="L967" s="14"/>
      <c r="M967" s="47"/>
      <c r="N967" s="15"/>
      <c r="O967" s="16"/>
      <c r="P967" s="17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ht="12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3"/>
      <c r="L968" s="14"/>
      <c r="M968" s="47"/>
      <c r="N968" s="15"/>
      <c r="O968" s="16"/>
      <c r="P968" s="17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ht="12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3"/>
      <c r="L969" s="14"/>
      <c r="M969" s="47"/>
      <c r="N969" s="15"/>
      <c r="O969" s="16"/>
      <c r="P969" s="17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ht="12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3"/>
      <c r="L970" s="14"/>
      <c r="M970" s="47"/>
      <c r="N970" s="15"/>
      <c r="O970" s="16"/>
      <c r="P970" s="17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ht="12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3"/>
      <c r="L971" s="14"/>
      <c r="M971" s="47"/>
      <c r="N971" s="15"/>
      <c r="O971" s="16"/>
      <c r="P971" s="17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ht="12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3"/>
      <c r="L972" s="14"/>
      <c r="M972" s="47"/>
      <c r="N972" s="15"/>
      <c r="O972" s="16"/>
      <c r="P972" s="17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ht="12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3"/>
      <c r="L973" s="14"/>
      <c r="M973" s="47"/>
      <c r="N973" s="15"/>
      <c r="O973" s="16"/>
      <c r="P973" s="17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ht="12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3"/>
      <c r="L974" s="14"/>
      <c r="M974" s="47"/>
      <c r="N974" s="15"/>
      <c r="O974" s="16"/>
      <c r="P974" s="17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ht="12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3"/>
      <c r="L975" s="14"/>
      <c r="M975" s="47"/>
      <c r="N975" s="15"/>
      <c r="O975" s="16"/>
      <c r="P975" s="17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ht="12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3"/>
      <c r="L976" s="14"/>
      <c r="M976" s="47"/>
      <c r="N976" s="15"/>
      <c r="O976" s="16"/>
      <c r="P976" s="17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ht="12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3"/>
      <c r="L977" s="14"/>
      <c r="M977" s="47"/>
      <c r="N977" s="15"/>
      <c r="O977" s="16"/>
      <c r="P977" s="17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ht="12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3"/>
      <c r="L978" s="14"/>
      <c r="M978" s="47"/>
      <c r="N978" s="15"/>
      <c r="O978" s="16"/>
      <c r="P978" s="17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ht="12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3"/>
      <c r="L979" s="14"/>
      <c r="M979" s="47"/>
      <c r="N979" s="15"/>
      <c r="O979" s="16"/>
      <c r="P979" s="17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ht="12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3"/>
      <c r="L980" s="14"/>
      <c r="M980" s="47"/>
      <c r="N980" s="15"/>
      <c r="O980" s="16"/>
      <c r="P980" s="17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ht="12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3"/>
      <c r="L981" s="14"/>
      <c r="M981" s="47"/>
      <c r="N981" s="15"/>
      <c r="O981" s="16"/>
      <c r="P981" s="17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ht="12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3"/>
      <c r="L982" s="14"/>
      <c r="M982" s="47"/>
      <c r="N982" s="15"/>
      <c r="O982" s="16"/>
      <c r="P982" s="17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ht="12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3"/>
      <c r="L983" s="14"/>
      <c r="M983" s="47"/>
      <c r="N983" s="15"/>
      <c r="O983" s="16"/>
      <c r="P983" s="17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ht="12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3"/>
      <c r="L984" s="14"/>
      <c r="M984" s="47"/>
      <c r="N984" s="15"/>
      <c r="O984" s="16"/>
      <c r="P984" s="17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ht="12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3"/>
      <c r="L985" s="14"/>
      <c r="M985" s="47"/>
      <c r="N985" s="15"/>
      <c r="O985" s="16"/>
      <c r="P985" s="17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ht="12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3"/>
      <c r="L986" s="14"/>
      <c r="M986" s="47"/>
      <c r="N986" s="15"/>
      <c r="O986" s="16"/>
      <c r="P986" s="17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ht="12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3"/>
      <c r="L987" s="14"/>
      <c r="M987" s="47"/>
      <c r="N987" s="15"/>
      <c r="O987" s="16"/>
      <c r="P987" s="17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ht="12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3"/>
      <c r="L988" s="14"/>
      <c r="M988" s="47"/>
      <c r="N988" s="15"/>
      <c r="O988" s="16"/>
      <c r="P988" s="17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ht="12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3"/>
      <c r="L989" s="14"/>
      <c r="M989" s="47"/>
      <c r="N989" s="15"/>
      <c r="O989" s="16"/>
      <c r="P989" s="17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ht="12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3"/>
      <c r="L990" s="14"/>
      <c r="M990" s="47"/>
      <c r="N990" s="15"/>
      <c r="O990" s="16"/>
      <c r="P990" s="17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ht="12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3"/>
      <c r="L991" s="14"/>
      <c r="M991" s="47"/>
      <c r="N991" s="15"/>
      <c r="O991" s="16"/>
      <c r="P991" s="17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ht="12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3"/>
      <c r="L992" s="14"/>
      <c r="M992" s="47"/>
      <c r="N992" s="15"/>
      <c r="O992" s="16"/>
      <c r="P992" s="17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ht="12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3"/>
      <c r="L993" s="14"/>
      <c r="M993" s="47"/>
      <c r="N993" s="15"/>
      <c r="O993" s="16"/>
      <c r="P993" s="17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ht="12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3"/>
      <c r="L994" s="14"/>
      <c r="M994" s="47"/>
      <c r="N994" s="15"/>
      <c r="O994" s="16"/>
      <c r="P994" s="17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ht="12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3"/>
      <c r="L995" s="14"/>
      <c r="M995" s="47"/>
      <c r="N995" s="15"/>
      <c r="O995" s="16"/>
      <c r="P995" s="17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ht="12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3"/>
      <c r="L996" s="14"/>
      <c r="M996" s="47"/>
      <c r="N996" s="15"/>
      <c r="O996" s="16"/>
      <c r="P996" s="17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ht="12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3"/>
      <c r="L997" s="14"/>
      <c r="M997" s="47"/>
      <c r="N997" s="15"/>
      <c r="O997" s="16"/>
      <c r="P997" s="17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ht="12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3"/>
      <c r="L998" s="14"/>
      <c r="M998" s="47"/>
      <c r="N998" s="15"/>
      <c r="O998" s="16"/>
      <c r="P998" s="17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ht="12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3"/>
      <c r="L999" s="14"/>
      <c r="M999" s="47"/>
      <c r="N999" s="15"/>
      <c r="O999" s="16"/>
      <c r="P999" s="17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ht="12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3"/>
      <c r="L1000" s="14"/>
      <c r="M1000" s="47"/>
      <c r="N1000" s="15"/>
      <c r="O1000" s="16"/>
      <c r="P1000" s="17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autoFilter ref="$A$6:$Z$881"/>
  <mergeCells count="1">
    <mergeCell ref="A4:J4"/>
  </mergeCells>
  <conditionalFormatting sqref="A202">
    <cfRule type="notContainsBlanks" dxfId="0" priority="1">
      <formula>LEN(TRIM(A202))&gt;0</formula>
    </cfRule>
  </conditionalFormatting>
  <printOptions/>
  <pageMargins bottom="0.75" footer="0.0" header="0.0" left="0.7" right="0.7" top="0.75"/>
  <pageSetup orientation="landscape"/>
  <drawing r:id="rId1"/>
</worksheet>
</file>